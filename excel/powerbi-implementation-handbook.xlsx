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ble\Downloads\"/>
    </mc:Choice>
  </mc:AlternateContent>
  <xr:revisionPtr revIDLastSave="0" documentId="13_ncr:1_{46989568-C522-4DC5-B783-EEF984556C14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START HERE" sheetId="1" r:id="rId1"/>
    <sheet name="DATA DICTIONARY" sheetId="2" r:id="rId2"/>
    <sheet name="MODEL RELATIONSHIPS" sheetId="3" r:id="rId3"/>
    <sheet name="CALCULATED OBJECTS" sheetId="4" r:id="rId4"/>
    <sheet name="DAX MEASURE LIBRARY" sheetId="5" r:id="rId5"/>
    <sheet name="VISUAL BUILD MATRIX" sheetId="6" r:id="rId6"/>
    <sheet name="SLICERS INTERACTIONS" sheetId="7" r:id="rId7"/>
    <sheet name="VALIDATION CHECKLIST" sheetId="8" r:id="rId8"/>
    <sheet name="BUILD ROADMAP" sheetId="9" r:id="rId9"/>
    <sheet name="ASSUMPTIONS &amp; LIMITS" sheetId="10" r:id="rId10"/>
    <sheet name="KPI CALCULATO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1" l="1"/>
  <c r="D3" i="11"/>
  <c r="D2" i="11"/>
</calcChain>
</file>

<file path=xl/sharedStrings.xml><?xml version="1.0" encoding="utf-8"?>
<sst xmlns="http://schemas.openxmlformats.org/spreadsheetml/2006/main" count="1460" uniqueCount="787">
  <si>
    <t>Item</t>
  </si>
  <si>
    <t>Instruction</t>
  </si>
  <si>
    <t>Purpose</t>
  </si>
  <si>
    <t>Implementation guide for 9 Datta Sable Power BI report pages</t>
  </si>
  <si>
    <t>Data source</t>
  </si>
  <si>
    <t>Datta_Sable_PowerBI_Complete_Dataset.zip</t>
  </si>
  <si>
    <t>Period</t>
  </si>
  <si>
    <t>2023 actuals, 2024 forecast</t>
  </si>
  <si>
    <t>Currency</t>
  </si>
  <si>
    <t>USD</t>
  </si>
  <si>
    <t>Measure policy</t>
  </si>
  <si>
    <t>DAX measures derive all KPI values; avoid screenshot hardcoding</t>
  </si>
  <si>
    <t>Recommended model</t>
  </si>
  <si>
    <t>Star schema: orders fact + customer/product/date dimensions; returns by order ID</t>
  </si>
  <si>
    <t>Key caveat</t>
  </si>
  <si>
    <t>Mockup screenshots contain inconsistent secondary values. Recalculate from CSV.</t>
  </si>
  <si>
    <t>Return caveat</t>
  </si>
  <si>
    <t>A returned order may also have Delivered status; model return independently</t>
  </si>
  <si>
    <t>Forecast caveat</t>
  </si>
  <si>
    <t>2024 forecast is a separate scenario table, not actual transactions</t>
  </si>
  <si>
    <t>Date strategy</t>
  </si>
  <si>
    <t>Create calendar spanning 2023-01-01 to 2024-12-31 and mark as date table</t>
  </si>
  <si>
    <t>Brand</t>
  </si>
  <si>
    <t>Datta Sable | dattasable.com | info@dattasable.com</t>
  </si>
  <si>
    <t>Suggested build order</t>
  </si>
  <si>
    <t>Import &gt; types &gt; relationships &gt; measures &gt; QA &gt; visuals &gt; interactions &gt; publish</t>
  </si>
  <si>
    <t>Table</t>
  </si>
  <si>
    <t>Column</t>
  </si>
  <si>
    <t>Suggested type</t>
  </si>
  <si>
    <t>Handling</t>
  </si>
  <si>
    <t>Source</t>
  </si>
  <si>
    <t>fact_orders_2023</t>
  </si>
  <si>
    <t>Order_ID</t>
  </si>
  <si>
    <t>Text</t>
  </si>
  <si>
    <t>Use Power Query to confirm type; keys remain text</t>
  </si>
  <si>
    <t>Source CSV</t>
  </si>
  <si>
    <t>Order_Date</t>
  </si>
  <si>
    <t>Date</t>
  </si>
  <si>
    <t>Customer_ID</t>
  </si>
  <si>
    <t>Product_ID</t>
  </si>
  <si>
    <t>Country</t>
  </si>
  <si>
    <t>State_Province</t>
  </si>
  <si>
    <t>Region</t>
  </si>
  <si>
    <t>Sales_Channel</t>
  </si>
  <si>
    <t>Shipping_Method</t>
  </si>
  <si>
    <t>Order_Status</t>
  </si>
  <si>
    <t>Quantity</t>
  </si>
  <si>
    <t>Whole number</t>
  </si>
  <si>
    <t>Sales_Amount_USD</t>
  </si>
  <si>
    <t>Decimal number</t>
  </si>
  <si>
    <t>Cost_Amount_USD</t>
  </si>
  <si>
    <t>Profit_Amount_USD</t>
  </si>
  <si>
    <t>Profit_Margin_Pct</t>
  </si>
  <si>
    <t>Unit_Price_USD</t>
  </si>
  <si>
    <t>Delivery_Days</t>
  </si>
  <si>
    <t>On_Time_Delivery</t>
  </si>
  <si>
    <t>Delivery_Date</t>
  </si>
  <si>
    <t>dim_products</t>
  </si>
  <si>
    <t>Product_Name</t>
  </si>
  <si>
    <t>Product_Category</t>
  </si>
  <si>
    <t>Product_Subcategory</t>
  </si>
  <si>
    <t>List_Price_USD</t>
  </si>
  <si>
    <t>dim_customers</t>
  </si>
  <si>
    <t>Customer_Name</t>
  </si>
  <si>
    <t>Customer_Segment</t>
  </si>
  <si>
    <t>Age_Group</t>
  </si>
  <si>
    <t>Acquisition_Channel</t>
  </si>
  <si>
    <t>Customer_Type</t>
  </si>
  <si>
    <t>fact_returns_2023</t>
  </si>
  <si>
    <t>Return_ID</t>
  </si>
  <si>
    <t>Return_Date</t>
  </si>
  <si>
    <t>Return_Reason</t>
  </si>
  <si>
    <t>Resolution</t>
  </si>
  <si>
    <t>Refund_Amount_USD</t>
  </si>
  <si>
    <t>Return_Value_USD</t>
  </si>
  <si>
    <t>fact_forecast_2024</t>
  </si>
  <si>
    <t>Forecast_Month</t>
  </si>
  <si>
    <t>Forecast_Sales_USD</t>
  </si>
  <si>
    <t>Sales_Lower_95_USD</t>
  </si>
  <si>
    <t>Sales_Upper_95_USD</t>
  </si>
  <si>
    <t>Forecast_Orders</t>
  </si>
  <si>
    <t>Orders_Lower_95</t>
  </si>
  <si>
    <t>Orders_Upper_95</t>
  </si>
  <si>
    <t>Forecast_Profit_USD</t>
  </si>
  <si>
    <t>Forecast_Profit_Margin_Pct</t>
  </si>
  <si>
    <t>Forecast_Return_Rate_Pct</t>
  </si>
  <si>
    <t>Scenario</t>
  </si>
  <si>
    <t>From</t>
  </si>
  <si>
    <t>To</t>
  </si>
  <si>
    <t>Cardinality</t>
  </si>
  <si>
    <t>Cross filter</t>
  </si>
  <si>
    <t>Status</t>
  </si>
  <si>
    <t>Notes</t>
  </si>
  <si>
    <t>dim_customers[Customer_ID]</t>
  </si>
  <si>
    <t>fact_orders_2023[Customer_ID]</t>
  </si>
  <si>
    <t>1:*</t>
  </si>
  <si>
    <t>Single</t>
  </si>
  <si>
    <t>Active</t>
  </si>
  <si>
    <t>Customer filters orders</t>
  </si>
  <si>
    <t>dim_products[Product_ID]</t>
  </si>
  <si>
    <t>fact_orders_2023[Product_ID]</t>
  </si>
  <si>
    <t>Product filters orders</t>
  </si>
  <si>
    <t>fact_orders_2023[Order_ID]</t>
  </si>
  <si>
    <t>fact_returns_2023[Order_ID]</t>
  </si>
  <si>
    <t>Ensure order IDs unique; returns per order may repeat</t>
  </si>
  <si>
    <t>DimDate[Date]</t>
  </si>
  <si>
    <t>fact_orders_2023[Order_Date]</t>
  </si>
  <si>
    <t>Order date drives sales time intelligence</t>
  </si>
  <si>
    <t>fact_returns_2023[Return_Date]</t>
  </si>
  <si>
    <t>Inactive</t>
  </si>
  <si>
    <t>Activate with USERELATIONSHIP for return-date analysis</t>
  </si>
  <si>
    <t>fact_forecast_2024[Forecast_Month]</t>
  </si>
  <si>
    <t>Inactive / optional</t>
  </si>
  <si>
    <t>Use forecast-specific date or USERELATIONSHIP; avoid ambiguity</t>
  </si>
  <si>
    <t>Object type</t>
  </si>
  <si>
    <t>DAX definition</t>
  </si>
  <si>
    <t>DimDate</t>
  </si>
  <si>
    <t>Calculated table</t>
  </si>
  <si>
    <t>DimDate = ADDCOLUMNS ( CALENDAR ( DATE ( 2023, 1, 1 ), DATE ( 2024, 12, 31 ) ), "Year", YEAR ( [Date] ), "Month No", MONTH ( [Date] ), "Month", FORMAT ( [Date], "MMM" ), "Year Month", FORMAT ( [Date], "YYYY-MM" ), "Quarter", "Q" &amp; FORMAT ( [Date], "Q" ), "Year Month Sort", YEAR ( [Date] ) * 100 + MONTH ( [Date] ) )</t>
  </si>
  <si>
    <t>Mark DimDate[Date] as date table; sort Month by Month No and Year Month by Year Month Sort</t>
  </si>
  <si>
    <t>Calculated column</t>
  </si>
  <si>
    <t>Order Month = DATE ( YEAR ( fact_orders_2023[Order_Date] ), MONTH ( fact_orders_2023[Order_Date] ), 1 )</t>
  </si>
  <si>
    <t>Prefer DimDate fields in visuals</t>
  </si>
  <si>
    <t>Delivery Status = IF ( fact_orders_2023[On_Time_Delivery] = "Yes", "On Time", "Late" )</t>
  </si>
  <si>
    <t>Inspect raw values first; replace Yes if boolean/1/0</t>
  </si>
  <si>
    <t>Order Size Band = SWITCH ( TRUE (), fact_orders_2023[Sales_Amount_USD] &lt; 50, "Under $50", fact_orders_2023[Sales_Amount_USD] &lt; 150, "$50–149", fact_orders_2023[Sales_Amount_USD] &lt; 500, "$150–499", "$500+" )</t>
  </si>
  <si>
    <t>Bands for order-value analysis</t>
  </si>
  <si>
    <t>Price Band = SWITCH ( TRUE (), dim_products[List_Price_USD] &lt; 50, "Budget", dim_products[List_Price_USD] &lt; 250, "Mid-range", "Premium" )</t>
  </si>
  <si>
    <t>Product segmentation</t>
  </si>
  <si>
    <t>Order Year = YEAR ( fact_orders_2023[Order_Date] )</t>
  </si>
  <si>
    <t>Optional; prefer calendar</t>
  </si>
  <si>
    <t>Category</t>
  </si>
  <si>
    <t>Measure name</t>
  </si>
  <si>
    <t>Ready-to-copy DAX</t>
  </si>
  <si>
    <t>Format</t>
  </si>
  <si>
    <t>Business logic and caveats</t>
  </si>
  <si>
    <t>Page</t>
  </si>
  <si>
    <t>Core</t>
  </si>
  <si>
    <t>Total Sales</t>
  </si>
  <si>
    <t>SUM ( fact_orders_2023[Sales_Amount_USD] )</t>
  </si>
  <si>
    <t>$#,##0.00</t>
  </si>
  <si>
    <t>Sales from source fact; reconcile to source total</t>
  </si>
  <si>
    <t>All</t>
  </si>
  <si>
    <t>Total Cost</t>
  </si>
  <si>
    <t>SUM ( fact_orders_2023[Cost_Amount_USD] )</t>
  </si>
  <si>
    <t>Costs stored at order level</t>
  </si>
  <si>
    <t>Profitability</t>
  </si>
  <si>
    <t>Total Profit</t>
  </si>
  <si>
    <t>SUM ( fact_orders_2023[Profit_Amount_USD] )</t>
  </si>
  <si>
    <t>Compare with Sales minus Cost</t>
  </si>
  <si>
    <t>Profit Margin</t>
  </si>
  <si>
    <t>DIVIDE ( [Total Profit], [Total Sales] )</t>
  </si>
  <si>
    <t>0.0%</t>
  </si>
  <si>
    <t>Use measure, never average row margin</t>
  </si>
  <si>
    <t>Total Orders</t>
  </si>
  <si>
    <t>DISTINCTCOUNT ( fact_orders_2023[Order_ID] )</t>
  </si>
  <si>
    <t>#,##0</t>
  </si>
  <si>
    <t>Distinct orders; if one row per order equals countrows</t>
  </si>
  <si>
    <t>Order Rows</t>
  </si>
  <si>
    <t>COUNTROWS ( fact_orders_2023 )</t>
  </si>
  <si>
    <t>Useful QA against distinct orders</t>
  </si>
  <si>
    <t>Orders</t>
  </si>
  <si>
    <t>Total Customers</t>
  </si>
  <si>
    <t>DISTINCTCOUNT ( fact_orders_2023[Customer_ID] )</t>
  </si>
  <si>
    <t>Customers with orders in selected period</t>
  </si>
  <si>
    <t>Customer Master Count</t>
  </si>
  <si>
    <t>COUNTROWS ( dim_customers )</t>
  </si>
  <si>
    <t>All customer master records</t>
  </si>
  <si>
    <t>Customers</t>
  </si>
  <si>
    <t>Total Products</t>
  </si>
  <si>
    <t>DISTINCTCOUNT ( dim_products[Product_ID] )</t>
  </si>
  <si>
    <t>Product catalog size</t>
  </si>
  <si>
    <t>Products</t>
  </si>
  <si>
    <t>Products Sold</t>
  </si>
  <si>
    <t>DISTINCTCOUNT ( fact_orders_2023[Product_ID] )</t>
  </si>
  <si>
    <t>Distinct products with sales</t>
  </si>
  <si>
    <t>Units Sold</t>
  </si>
  <si>
    <t>SUM ( fact_orders_2023[Quantity] )</t>
  </si>
  <si>
    <t>Units sold</t>
  </si>
  <si>
    <t>Average Order Value</t>
  </si>
  <si>
    <t>DIVIDE ( [Total Sales], [Total Orders] )</t>
  </si>
  <si>
    <t>Revenue per distinct order</t>
  </si>
  <si>
    <t>Sales</t>
  </si>
  <si>
    <t>Profit per Order</t>
  </si>
  <si>
    <t>DIVIDE ( [Total Profit], [Total Orders] )</t>
  </si>
  <si>
    <t>Profit per distinct order</t>
  </si>
  <si>
    <t>Average Unit Selling Price</t>
  </si>
  <si>
    <t>DIVIDE ( [Total Sales], [Units Sold] )</t>
  </si>
  <si>
    <t>Do not confuse with average order value</t>
  </si>
  <si>
    <t>Profit per Unit</t>
  </si>
  <si>
    <t>DIVIDE ( [Total Profit], [Units Sold] )</t>
  </si>
  <si>
    <t>Unit economics</t>
  </si>
  <si>
    <t>Time</t>
  </si>
  <si>
    <t>Sales PY</t>
  </si>
  <si>
    <t>CALCULATE ( [Total Sales], SAMEPERIODLASTYEAR ( DimDate[Date] ) )</t>
  </si>
  <si>
    <t>Requires previous-year actual transactions; 2022 absent</t>
  </si>
  <si>
    <t>Sales YoY %</t>
  </si>
  <si>
    <t>DIVIDE ( [Total Sales] - [Sales PY], [Sales PY] )</t>
  </si>
  <si>
    <t>Blank when no prior-year data</t>
  </si>
  <si>
    <t>Profit PY</t>
  </si>
  <si>
    <t>CALCULATE ( [Total Profit], SAMEPERIODLASTYEAR ( DimDate[Date] ) )</t>
  </si>
  <si>
    <t>2022 source data required</t>
  </si>
  <si>
    <t>Profit YoY %</t>
  </si>
  <si>
    <t>DIVIDE ( [Total Profit] - [Profit PY], [Profit PY] )</t>
  </si>
  <si>
    <t>Blank for missing PY</t>
  </si>
  <si>
    <t>Orders PY</t>
  </si>
  <si>
    <t>CALCULATE ( [Total Orders], SAMEPERIODLASTYEAR ( DimDate[Date] ) )</t>
  </si>
  <si>
    <t>Requires 2022</t>
  </si>
  <si>
    <t>Orders YoY %</t>
  </si>
  <si>
    <t>DIVIDE ( [Total Orders] - [Orders PY], [Orders PY] )</t>
  </si>
  <si>
    <t>Sales YTD</t>
  </si>
  <si>
    <t>TOTALYTD ( [Total Sales], DimDate[Date] )</t>
  </si>
  <si>
    <t>Calendar-year accumulation</t>
  </si>
  <si>
    <t>Sales QTD</t>
  </si>
  <si>
    <t>TOTALQTD ( [Total Sales], DimDate[Date] )</t>
  </si>
  <si>
    <t>Quarter accumulation</t>
  </si>
  <si>
    <t>Sales MTD</t>
  </si>
  <si>
    <t>TOTALMTD ( [Total Sales], DimDate[Date] )</t>
  </si>
  <si>
    <t>Month accumulation</t>
  </si>
  <si>
    <t>Sales Previous Month</t>
  </si>
  <si>
    <t>CALCULATE ( [Total Sales], DATEADD ( DimDate[Date], -1, MONTH ) )</t>
  </si>
  <si>
    <t>Month comparison</t>
  </si>
  <si>
    <t>Sales MoM %</t>
  </si>
  <si>
    <t>DIVIDE ( [Total Sales] - [Sales Previous Month], [Sales Previous Month] )</t>
  </si>
  <si>
    <t>Month-over-month growth</t>
  </si>
  <si>
    <t>Rolling 3M Sales</t>
  </si>
  <si>
    <t>CALCULATE ( [Total Sales], DATESINPERIOD ( DimDate[Date], MAX ( DimDate[Date] ), -3, MONTH ) )</t>
  </si>
  <si>
    <t>Rolling three calendar months</t>
  </si>
  <si>
    <t>Rolling 12M Sales</t>
  </si>
  <si>
    <t>CALCULATE ( [Total Sales], DATESINPERIOD ( DimDate[Date], MAX ( DimDate[Date] ), -12, MONTH ) )</t>
  </si>
  <si>
    <t>Limited historical coverage</t>
  </si>
  <si>
    <t>Mix</t>
  </si>
  <si>
    <t>Sales Share %</t>
  </si>
  <si>
    <t>DIVIDE ( [Total Sales], CALCULATE ( [Total Sales], ALLSELECTED ( dim_products[Product_Category] ) ) )</t>
  </si>
  <si>
    <t>Category share respecting external filters</t>
  </si>
  <si>
    <t>Region Sales Share %</t>
  </si>
  <si>
    <t>DIVIDE ( [Total Sales], CALCULATE ( [Total Sales], ALLSELECTED ( fact_orders_2023[Region] ) ) )</t>
  </si>
  <si>
    <t>Region share</t>
  </si>
  <si>
    <t>Regions</t>
  </si>
  <si>
    <t>Product Sales Rank</t>
  </si>
  <si>
    <t>RANKX ( ALLSELECTED ( dim_products[Product_Name] ), [Total Sales], , DESC, DENSE )</t>
  </si>
  <si>
    <t>0</t>
  </si>
  <si>
    <t>Use Top N visual filter</t>
  </si>
  <si>
    <t>Product Profit Rank</t>
  </si>
  <si>
    <t>RANKX ( ALLSELECTED ( dim_products[Product_Name] ), [Total Profit], , DESC, DENSE )</t>
  </si>
  <si>
    <t>Top profit products</t>
  </si>
  <si>
    <t>Category Profit Share %</t>
  </si>
  <si>
    <t>DIVIDE ( [Total Profit], CALCULATE ( [Total Profit], ALLSELECTED ( dim_products[Product_Category] ) ) )</t>
  </si>
  <si>
    <t>Category contribution to profit</t>
  </si>
  <si>
    <t>New Customers (flag)</t>
  </si>
  <si>
    <t>CALCULATE ( DISTINCTCOUNT ( fact_orders_2023[Customer_ID] ), dim_customers[Customer_Type] = "New" )</t>
  </si>
  <si>
    <t>Only if Customer_Type is reliable classification; not true first-purchase cohort</t>
  </si>
  <si>
    <t>Returning Customers (flag)</t>
  </si>
  <si>
    <t>CALCULATE ( DISTINCTCOUNT ( fact_orders_2023[Customer_ID] ), dim_customers[Customer_Type] = "Returning" )</t>
  </si>
  <si>
    <t>Validate category labels</t>
  </si>
  <si>
    <t>Orders per Customer</t>
  </si>
  <si>
    <t>DIVIDE ( [Total Orders], [Total Customers] )</t>
  </si>
  <si>
    <t>0.00</t>
  </si>
  <si>
    <t>Purchase frequency</t>
  </si>
  <si>
    <t>Revenue per Customer</t>
  </si>
  <si>
    <t>DIVIDE ( [Total Sales], [Total Customers] )</t>
  </si>
  <si>
    <t>Observed revenue, not predictive lifetime value</t>
  </si>
  <si>
    <t>Customer Share %</t>
  </si>
  <si>
    <t>DIVIDE ( [Total Customers], CALCULATE ( [Total Customers], ALLSELECTED ( dim_customers[Customer_Segment] ) ) )</t>
  </si>
  <si>
    <t>Segment customer mix</t>
  </si>
  <si>
    <t>Repeat Customer Count</t>
  </si>
  <si>
    <t>COUNTROWS ( FILTER ( VALUES ( fact_orders_2023[Customer_ID] ), CALCULATE ( DISTINCTCOUNT ( fact_orders_2023[Order_ID] ) ) &gt; 1 ) )</t>
  </si>
  <si>
    <t>Customers with &gt;1 order in selected period</t>
  </si>
  <si>
    <t>Repeat Customer Rate</t>
  </si>
  <si>
    <t>DIVIDE ( [Repeat Customer Count], [Total Customers] )</t>
  </si>
  <si>
    <t>Transaction-derived repeat rate</t>
  </si>
  <si>
    <t>Customer Revenue Rank</t>
  </si>
  <si>
    <t>RANKX ( ALLSELECTED ( dim_customers[Customer_Name] ), [Total Sales], , DESC, DENSE )</t>
  </si>
  <si>
    <t>Names may not be unique; rank Customer_ID for production</t>
  </si>
  <si>
    <t>Delivered Orders</t>
  </si>
  <si>
    <t>CALCULATE ( [Total Orders], fact_orders_2023[Order_Status] = "Delivered" )</t>
  </si>
  <si>
    <t>Status at extract; not necessarily returned orders</t>
  </si>
  <si>
    <t>Shipped Orders</t>
  </si>
  <si>
    <t>CALCULATE ( [Total Orders], fact_orders_2023[Order_Status] = "Shipped" )</t>
  </si>
  <si>
    <t>Check status values</t>
  </si>
  <si>
    <t>Cancelled Orders</t>
  </si>
  <si>
    <t>CALCULATE ( [Total Orders], fact_orders_2023[Order_Status] = "Cancelled" )</t>
  </si>
  <si>
    <t>Delivery Fulfillment %</t>
  </si>
  <si>
    <t>DIVIDE ( [Delivered Orders], [Total Orders] )</t>
  </si>
  <si>
    <t>Delivered / all orders; define business meaning</t>
  </si>
  <si>
    <t>Average Delivery Days</t>
  </si>
  <si>
    <t>AVERAGE ( fact_orders_2023[Delivery_Days] )</t>
  </si>
  <si>
    <t>0.0</t>
  </si>
  <si>
    <t>May include undelivered rows; filter as needed</t>
  </si>
  <si>
    <t>On-Time Orders</t>
  </si>
  <si>
    <t>CALCULATE ( [Total Orders], fact_orders_2023[On_Time_Delivery] = "Yes" )</t>
  </si>
  <si>
    <t>Adjust to actual CSV encoding</t>
  </si>
  <si>
    <t>On-Time Delivery %</t>
  </si>
  <si>
    <t>DIVIDE ( [On-Time Orders], [Delivered Orders] )</t>
  </si>
  <si>
    <t>Use delivered denominator; validate eligibility</t>
  </si>
  <si>
    <t>Returns</t>
  </si>
  <si>
    <t>Return Cases</t>
  </si>
  <si>
    <t>COUNTROWS ( fact_returns_2023 )</t>
  </si>
  <si>
    <t>Return records count</t>
  </si>
  <si>
    <t>Returned Orders</t>
  </si>
  <si>
    <t>DISTINCTCOUNT ( fact_returns_2023[Order_ID] )</t>
  </si>
  <si>
    <t>Distinct orders with return</t>
  </si>
  <si>
    <t>Return Rate</t>
  </si>
  <si>
    <t>DIVIDE ( [Returned Orders], [Total Orders] )</t>
  </si>
  <si>
    <t>Return orders / orders; ensure same period basis</t>
  </si>
  <si>
    <t>Return Value</t>
  </si>
  <si>
    <t>SUM ( fact_returns_2023[Return_Value_USD] )</t>
  </si>
  <si>
    <t>Returned merchandise value</t>
  </si>
  <si>
    <t>Refund Amount</t>
  </si>
  <si>
    <t>SUM ( fact_returns_2023[Refund_Amount_USD] )</t>
  </si>
  <si>
    <t>Refunds actually recorded</t>
  </si>
  <si>
    <t>Average Refund</t>
  </si>
  <si>
    <t>DIVIDE ( [Refund Amount], [Return Cases] )</t>
  </si>
  <si>
    <t>Refund per return case</t>
  </si>
  <si>
    <t>Refunded Cases</t>
  </si>
  <si>
    <t>CALCULATE ( [Return Cases], fact_returns_2023[Resolution] = "Refunded" )</t>
  </si>
  <si>
    <t>Resolution-specific cases</t>
  </si>
  <si>
    <t>Exchanged Cases</t>
  </si>
  <si>
    <t>CALCULATE ( [Return Cases], fact_returns_2023[Resolution] = "Exchanged" )</t>
  </si>
  <si>
    <t>Returned Orders by Return Date</t>
  </si>
  <si>
    <t>CALCULATE ( [Returned Orders], USERELATIONSHIP ( DimDate[Date], fact_returns_2023[Return_Date] ) )</t>
  </si>
  <si>
    <t>Return-date time axis; inactive date relationship</t>
  </si>
  <si>
    <t>Return Value by Return Date</t>
  </si>
  <si>
    <t>CALCULATE ( [Return Value], USERELATIONSHIP ( DimDate[Date], fact_returns_2023[Return_Date] ) )</t>
  </si>
  <si>
    <t>Return-date measure</t>
  </si>
  <si>
    <t>Forecast</t>
  </si>
  <si>
    <t>Forecast Sales</t>
  </si>
  <si>
    <t>SUM ( fact_forecast_2024[Forecast_Sales_USD] )</t>
  </si>
  <si>
    <t>2024 forecast only</t>
  </si>
  <si>
    <t>Forecast Orders</t>
  </si>
  <si>
    <t>SUM ( fact_forecast_2024[Forecast_Orders] )</t>
  </si>
  <si>
    <t>2024 projected orders</t>
  </si>
  <si>
    <t>Forecast Profit</t>
  </si>
  <si>
    <t>SUM ( fact_forecast_2024[Forecast_Profit_USD] )</t>
  </si>
  <si>
    <t>2024 projected profit</t>
  </si>
  <si>
    <t>Forecast Margin</t>
  </si>
  <si>
    <t>DIVIDE ( [Forecast Profit], [Forecast Sales] )</t>
  </si>
  <si>
    <t>Weighted, not average of monthly margins</t>
  </si>
  <si>
    <t>Forecast Sales Lower 95</t>
  </si>
  <si>
    <t>SUM ( fact_forecast_2024[Sales_Lower_95_USD] )</t>
  </si>
  <si>
    <t>Sum interval bounds only as an illustrative aggregate</t>
  </si>
  <si>
    <t>Forecast Sales Upper 95</t>
  </si>
  <si>
    <t>SUM ( fact_forecast_2024[Sales_Upper_95_USD] )</t>
  </si>
  <si>
    <t>Aggregate intervals not statistically guaranteed 95%</t>
  </si>
  <si>
    <t>Forecast Return Rate (weighted)</t>
  </si>
  <si>
    <t>DIVIDE ( SUMX ( fact_forecast_2024, fact_forecast_2024[Forecast_Orders] * fact_forecast_2024[Forecast_Return_Rate_Pct] ), [Forecast Orders] )</t>
  </si>
  <si>
    <t>If CSV percentage values are 0-100, divide numerator by 100</t>
  </si>
  <si>
    <t>Forecast Q1 Sales</t>
  </si>
  <si>
    <t>CALCULATE ( [Forecast Sales], FILTER ( ALL ( fact_forecast_2024[Forecast_Month] ), fact_forecast_2024[Forecast_Month] &gt;= DATE ( 2024, 1, 1 ) &amp;&amp; fact_forecast_2024[Forecast_Month] &lt; DATE ( 2024, 4, 1 ) ) )</t>
  </si>
  <si>
    <t>Q1 2024</t>
  </si>
  <si>
    <t>Dashboard page</t>
  </si>
  <si>
    <t>Visual title</t>
  </si>
  <si>
    <t>Power BI visual type</t>
  </si>
  <si>
    <t>Axis / Rows / Details</t>
  </si>
  <si>
    <t>Values / Measure mapping</t>
  </si>
  <si>
    <t>Slicer / Interaction</t>
  </si>
  <si>
    <t>Implementation note</t>
  </si>
  <si>
    <t>Overview</t>
  </si>
  <si>
    <t>KPI cards</t>
  </si>
  <si>
    <t>Cards</t>
  </si>
  <si>
    <t>Sales, Profit, Orders, Customers, Margin</t>
  </si>
  <si>
    <t>[Total Sales], [Total Profit], [Total Orders], [Total Customers], [Profit Margin]</t>
  </si>
  <si>
    <t>Date and global filters</t>
  </si>
  <si>
    <t>All cards recompute; YOY blank without 2022</t>
  </si>
  <si>
    <t>Sales &amp; profit trend</t>
  </si>
  <si>
    <t>Line and clustered column</t>
  </si>
  <si>
    <t>DimDate[Year Month]</t>
  </si>
  <si>
    <t>[Total Sales] bars; [Total Profit] line</t>
  </si>
  <si>
    <t>Month selection</t>
  </si>
  <si>
    <t>Sort by Year Month Sort</t>
  </si>
  <si>
    <t>Regional sales</t>
  </si>
  <si>
    <t>Filled map or bar</t>
  </si>
  <si>
    <t>fact_orders_2023[Country] / [Region]</t>
  </si>
  <si>
    <t>[Total Sales]</t>
  </si>
  <si>
    <t>Cross-highlight</t>
  </si>
  <si>
    <t>Set geography data category; bar fallback</t>
  </si>
  <si>
    <t>Category mix</t>
  </si>
  <si>
    <t>Donut</t>
  </si>
  <si>
    <t>dim_products[Product_Category]</t>
  </si>
  <si>
    <t>Cross-filter</t>
  </si>
  <si>
    <t>Use [Sales Share %] in tooltip</t>
  </si>
  <si>
    <t>Top products</t>
  </si>
  <si>
    <t>Horizontal bar</t>
  </si>
  <si>
    <t>dim_products[Product_Name]</t>
  </si>
  <si>
    <t>Top 5</t>
  </si>
  <si>
    <t>Filter rank &lt;=5</t>
  </si>
  <si>
    <t>Segment mix</t>
  </si>
  <si>
    <t>dim_customers[Customer_Segment]</t>
  </si>
  <si>
    <t>[Total Orders]</t>
  </si>
  <si>
    <t>Orders, not unique customers</t>
  </si>
  <si>
    <t>Region matrix</t>
  </si>
  <si>
    <t>Matrix</t>
  </si>
  <si>
    <t>fact_orders_2023[Region]</t>
  </si>
  <si>
    <t>Drilldown</t>
  </si>
  <si>
    <t>Conditional format growth only if PY exists</t>
  </si>
  <si>
    <t>Sales Performance</t>
  </si>
  <si>
    <t>Revenue bridge</t>
  </si>
  <si>
    <t>Waterfall</t>
  </si>
  <si>
    <t>DimDate[Month] or defined drivers</t>
  </si>
  <si>
    <t>Category/region</t>
  </si>
  <si>
    <t>Driver bridge requires genuine decomposition, not invented PY</t>
  </si>
  <si>
    <t>Monthly sales vs margin</t>
  </si>
  <si>
    <t>Combo</t>
  </si>
  <si>
    <t>[Total Sales], [Profit Margin]</t>
  </si>
  <si>
    <t>Month</t>
  </si>
  <si>
    <t>Separate axes</t>
  </si>
  <si>
    <t>Sales funnel</t>
  </si>
  <si>
    <t>Funnel</t>
  </si>
  <si>
    <t>Funnel stage dimension (NOT PROVIDED)</t>
  </si>
  <si>
    <t>Visits, views, carts, orders</t>
  </si>
  <si>
    <t>Channel</t>
  </si>
  <si>
    <t>Requires web event data; cannot infer visits from orders</t>
  </si>
  <si>
    <t>Regional contribution</t>
  </si>
  <si>
    <t>Share in tooltip</t>
  </si>
  <si>
    <t>Channel sales</t>
  </si>
  <si>
    <t>Bar</t>
  </si>
  <si>
    <t>fact_orders_2023[Sales_Channel]</t>
  </si>
  <si>
    <t>Sort descending</t>
  </si>
  <si>
    <t>Product treemap</t>
  </si>
  <si>
    <t>Treemap</t>
  </si>
  <si>
    <t>Top N</t>
  </si>
  <si>
    <t>Tooltip profit</t>
  </si>
  <si>
    <t>Segment table</t>
  </si>
  <si>
    <t>[Total Sales], [Total Orders], [Average Order Value], [Profit Margin]</t>
  </si>
  <si>
    <t>Segment</t>
  </si>
  <si>
    <t>Reconcile grand total</t>
  </si>
  <si>
    <t>Product Analysis</t>
  </si>
  <si>
    <t>Category sales vs profit</t>
  </si>
  <si>
    <t>Clustered columns</t>
  </si>
  <si>
    <t>[Total Sales], [Total Profit]</t>
  </si>
  <si>
    <t>Profit as separate axis if needed</t>
  </si>
  <si>
    <t>Subcategory contribution</t>
  </si>
  <si>
    <t>dim_products[Product_Subcategory]</t>
  </si>
  <si>
    <t>Percent share tooltip</t>
  </si>
  <si>
    <t>Top 10 products</t>
  </si>
  <si>
    <t>Top 10</t>
  </si>
  <si>
    <t>Product Sales Rank &lt;=10</t>
  </si>
  <si>
    <t>Price vs margin</t>
  </si>
  <si>
    <t>Scatter</t>
  </si>
  <si>
    <t>X: AVERAGE(dim_products[List_Price_USD]); Y: [Profit Margin]; Size: [Total Sales]</t>
  </si>
  <si>
    <t>Set Details=Product_ID</t>
  </si>
  <si>
    <t>Product trend</t>
  </si>
  <si>
    <t>Line</t>
  </si>
  <si>
    <t>Use small multiples by category</t>
  </si>
  <si>
    <t>Product details</t>
  </si>
  <si>
    <t>[Total Sales], [Total Orders], [Units Sold], [Total Profit], [Profit Margin]</t>
  </si>
  <si>
    <t>Product</t>
  </si>
  <si>
    <t>Drill-through product</t>
  </si>
  <si>
    <t>Customer Insights</t>
  </si>
  <si>
    <t>Customer acquisition</t>
  </si>
  <si>
    <t>Stacked columns</t>
  </si>
  <si>
    <t>[New Customers (flag)], [Returning Customers (flag)]</t>
  </si>
  <si>
    <t>Flag-based only; acquisition date missing</t>
  </si>
  <si>
    <t>Customer segment</t>
  </si>
  <si>
    <t>[Total Customers]</t>
  </si>
  <si>
    <t>Segment share</t>
  </si>
  <si>
    <t>Customers by region</t>
  </si>
  <si>
    <t>Map or bar</t>
  </si>
  <si>
    <t>Distinct customers can overlap regions</t>
  </si>
  <si>
    <t>Top customers</t>
  </si>
  <si>
    <t>dim_customers[Customer_Name]</t>
  </si>
  <si>
    <t>Use customer ID for unique ranking</t>
  </si>
  <si>
    <t>Repeat purchase</t>
  </si>
  <si>
    <t>Card + line</t>
  </si>
  <si>
    <t>[Repeat Customer Rate]</t>
  </si>
  <si>
    <t>Not true retention</t>
  </si>
  <si>
    <t>Age mix</t>
  </si>
  <si>
    <t>dim_customers[Age_Group]</t>
  </si>
  <si>
    <t>Age</t>
  </si>
  <si>
    <t>Sort age bands manually</t>
  </si>
  <si>
    <t>Cohort retention</t>
  </si>
  <si>
    <t>Cohort month × months since first order</t>
  </si>
  <si>
    <t>Customer retention measures</t>
  </si>
  <si>
    <t>Cohort</t>
  </si>
  <si>
    <t>Requires cohort table from first order and full history</t>
  </si>
  <si>
    <t>Region Analysis</t>
  </si>
  <si>
    <t>Geographic sales</t>
  </si>
  <si>
    <t>Map</t>
  </si>
  <si>
    <t>fact_orders_2023[Country]</t>
  </si>
  <si>
    <t>Region/Country</t>
  </si>
  <si>
    <t>Geocoding validation</t>
  </si>
  <si>
    <t>Sales vs margin</t>
  </si>
  <si>
    <t>Margin secondary axis</t>
  </si>
  <si>
    <t>Top countries</t>
  </si>
  <si>
    <t>Country geographic type</t>
  </si>
  <si>
    <t>Regional orders</t>
  </si>
  <si>
    <t>Regional growth</t>
  </si>
  <si>
    <t>[Total Sales], [Sales PY]</t>
  </si>
  <si>
    <t>2022 not included; PY blanks</t>
  </si>
  <si>
    <t>Top states</t>
  </si>
  <si>
    <t>fact_orders_2023[State_Province]</t>
  </si>
  <si>
    <t>Ambiguous names: pair with Country</t>
  </si>
  <si>
    <t>Regional matrix</t>
  </si>
  <si>
    <t>Region &gt; Country &gt; State_Province</t>
  </si>
  <si>
    <t>[Total Sales], [Total Orders], [Total Customers], [Total Profit], [Profit Margin]</t>
  </si>
  <si>
    <t>Country/state hierarchical drill</t>
  </si>
  <si>
    <t>Order Details</t>
  </si>
  <si>
    <t>Orders by status</t>
  </si>
  <si>
    <t>fact_orders_2023[Order_Status]</t>
  </si>
  <si>
    <t>Statuses mutually exclusive at snapshot</t>
  </si>
  <si>
    <t>Fulfillment stages</t>
  </si>
  <si>
    <t>Order milestone event table (NOT PROVIDED)</t>
  </si>
  <si>
    <t>Distinct orders at each stage</t>
  </si>
  <si>
    <t>Do not fabricate historical stage events</t>
  </si>
  <si>
    <t>Monthly order trend</t>
  </si>
  <si>
    <t>Columns</t>
  </si>
  <si>
    <t>2022 comparison unavailable</t>
  </si>
  <si>
    <t>Orders by channel</t>
  </si>
  <si>
    <t>Shipping method</t>
  </si>
  <si>
    <t>fact_orders_2023[Shipping_Method]</t>
  </si>
  <si>
    <t>Method</t>
  </si>
  <si>
    <t>Distinct orders</t>
  </si>
  <si>
    <t>On-time by region</t>
  </si>
  <si>
    <t>[On-Time Delivery %]</t>
  </si>
  <si>
    <t>Confirm boolean encoding</t>
  </si>
  <si>
    <t>Recent orders</t>
  </si>
  <si>
    <t>Order_ID, Order_Date, Customer_Name, Product_Name, Order_Status</t>
  </si>
  <si>
    <t>Sales_Amount_USD, Delivery_Date</t>
  </si>
  <si>
    <t>Add fields from dimensions</t>
  </si>
  <si>
    <t>Category profit vs margin</t>
  </si>
  <si>
    <t>[Total Profit], [Profit Margin]</t>
  </si>
  <si>
    <t>Weighted margin</t>
  </si>
  <si>
    <t>Monthly margin</t>
  </si>
  <si>
    <t>[Total Sales], [Total Profit], [Profit Margin]</t>
  </si>
  <si>
    <t>Profit by region</t>
  </si>
  <si>
    <t>Rank by profit</t>
  </si>
  <si>
    <t>Revenue-cost-profit bridge</t>
  </si>
  <si>
    <t>Revenue / Cost / Profit</t>
  </si>
  <si>
    <t>[Total Sales], [Total Cost], [Total Profit]</t>
  </si>
  <si>
    <t>Filters</t>
  </si>
  <si>
    <t>Build disconnected steps table; cost negative</t>
  </si>
  <si>
    <t>Product profit treemap</t>
  </si>
  <si>
    <t>[Total Profit]</t>
  </si>
  <si>
    <t>Negative profit products need alternate view</t>
  </si>
  <si>
    <t>Rank measure</t>
  </si>
  <si>
    <t>Segment profitability</t>
  </si>
  <si>
    <t>[Total Sales], [Total Cost], [Total Profit], [Profit Margin]</t>
  </si>
  <si>
    <t>Return Analysis</t>
  </si>
  <si>
    <t>Returns by category</t>
  </si>
  <si>
    <t>[Returned Orders], [Return Rate]</t>
  </si>
  <si>
    <t>Rate denominators respect product context</t>
  </si>
  <si>
    <t>Return reasons</t>
  </si>
  <si>
    <t>fact_returns_2023[Return_Reason]</t>
  </si>
  <si>
    <t>[Return Cases]</t>
  </si>
  <si>
    <t>Reason</t>
  </si>
  <si>
    <t>Share of return cases</t>
  </si>
  <si>
    <t>Monthly returns</t>
  </si>
  <si>
    <t>[Returned Orders by Return Date], [Return Value by Return Date]</t>
  </si>
  <si>
    <t>Use return-date measures</t>
  </si>
  <si>
    <t>Top returned products</t>
  </si>
  <si>
    <t>[Returned Orders]</t>
  </si>
  <si>
    <t>Returns link to orders</t>
  </si>
  <si>
    <t>Regional return rate</t>
  </si>
  <si>
    <t>[Return Rate]</t>
  </si>
  <si>
    <t>Use order-date cohort denominator</t>
  </si>
  <si>
    <t>Channel return rate</t>
  </si>
  <si>
    <t>Rank descending</t>
  </si>
  <si>
    <t>Recent returns</t>
  </si>
  <si>
    <t>Return_ID, Return_Date, Return_Reason, Resolution</t>
  </si>
  <si>
    <t>Refund_Amount_USD, Return_Value_USD</t>
  </si>
  <si>
    <t>Include order/customer via relationships</t>
  </si>
  <si>
    <t>Resolution mix</t>
  </si>
  <si>
    <t>fact_returns_2023[Resolution]</t>
  </si>
  <si>
    <t>Refunded / exchanged / replaced</t>
  </si>
  <si>
    <t>Forecast KPI cards</t>
  </si>
  <si>
    <t>Forecast period</t>
  </si>
  <si>
    <t>[Forecast Sales], [Forecast Orders], [Forecast Profit], [Forecast Margin]</t>
  </si>
  <si>
    <t>Forecast horizon</t>
  </si>
  <si>
    <t>2024 only</t>
  </si>
  <si>
    <t>Forecast sales with bounds</t>
  </si>
  <si>
    <t>Line and shaded band</t>
  </si>
  <si>
    <t>[Forecast Sales], [Forecast Sales Lower 95], [Forecast Sales Upper 95]</t>
  </si>
  <si>
    <t>Intervals are synthetic, not model-validated</t>
  </si>
  <si>
    <t>Forecast orders</t>
  </si>
  <si>
    <t>[Forecast Orders]</t>
  </si>
  <si>
    <t>Monthly projections</t>
  </si>
  <si>
    <t>Forecast profit and margin</t>
  </si>
  <si>
    <t>[Forecast Profit], [Forecast Margin]</t>
  </si>
  <si>
    <t>Use weighted margin</t>
  </si>
  <si>
    <t>Category forecast</t>
  </si>
  <si>
    <t>Product_Category (NOT IN FORECAST CSV)</t>
  </si>
  <si>
    <t>Forecast sales by category</t>
  </si>
  <si>
    <t>Needs forecast allocation table; do not infer</t>
  </si>
  <si>
    <t>Regional forecast</t>
  </si>
  <si>
    <t>Region (NOT IN FORECAST CSV)</t>
  </si>
  <si>
    <t>Forecast sales by region</t>
  </si>
  <si>
    <t>Needs region-specific forecast table</t>
  </si>
  <si>
    <t>Forecast summary</t>
  </si>
  <si>
    <t>Use full 12-month table</t>
  </si>
  <si>
    <t>Forecast drivers</t>
  </si>
  <si>
    <t>Driver attribution (NOT PROVIDED)</t>
  </si>
  <si>
    <t>Driver impact</t>
  </si>
  <si>
    <t>Requires modeled drivers and documentation</t>
  </si>
  <si>
    <t>Slicer</t>
  </si>
  <si>
    <t>Field</t>
  </si>
  <si>
    <t>Style</t>
  </si>
  <si>
    <t>Interaction</t>
  </si>
  <si>
    <t>Caution</t>
  </si>
  <si>
    <t>All pages</t>
  </si>
  <si>
    <t>Date range</t>
  </si>
  <si>
    <t>Between</t>
  </si>
  <si>
    <t>Sync across pages</t>
  </si>
  <si>
    <t>For forecast use separate forecast date control</t>
  </si>
  <si>
    <t>Dropdown</t>
  </si>
  <si>
    <t>Can be duplicated on regional page</t>
  </si>
  <si>
    <t>Dependent selection</t>
  </si>
  <si>
    <t>Region &gt; Country</t>
  </si>
  <si>
    <t>All visuals</t>
  </si>
  <si>
    <t>Drill to subcategory</t>
  </si>
  <si>
    <t>Subcategory</t>
  </si>
  <si>
    <t>Use hierarchy</t>
  </si>
  <si>
    <t>dim_products[Brand]</t>
  </si>
  <si>
    <t>Distinct brands</t>
  </si>
  <si>
    <t>Customer breakdown</t>
  </si>
  <si>
    <t>Customer type</t>
  </si>
  <si>
    <t>dim_customers[Customer_Type]</t>
  </si>
  <si>
    <t>Validate type flags</t>
  </si>
  <si>
    <t>Order status</t>
  </si>
  <si>
    <t>Status snapshot</t>
  </si>
  <si>
    <t>Logistics</t>
  </si>
  <si>
    <t>Return reason</t>
  </si>
  <si>
    <t>Return visuals</t>
  </si>
  <si>
    <t>Return-date filtering requires care</t>
  </si>
  <si>
    <t>fact_forecast_2024[Scenario]</t>
  </si>
  <si>
    <t>Forecast only</t>
  </si>
  <si>
    <t>If only one scenario, slicer has no effect</t>
  </si>
  <si>
    <t>Keep actual vs forecast date context separate</t>
  </si>
  <si>
    <t>Check</t>
  </si>
  <si>
    <t>Expected / Interpretation</t>
  </si>
  <si>
    <t>Action</t>
  </si>
  <si>
    <t>Order count</t>
  </si>
  <si>
    <t>COUNTROWS(fact_orders_2023) = DISTINCTCOUNT(Order_ID)</t>
  </si>
  <si>
    <t>Expected 178200 if one row/order</t>
  </si>
  <si>
    <t>Check actual CSV</t>
  </si>
  <si>
    <t>Customer count</t>
  </si>
  <si>
    <t>COUNTROWS(dim_customers)</t>
  </si>
  <si>
    <t>Expected 46798</t>
  </si>
  <si>
    <t>Compare active customer measure separately</t>
  </si>
  <si>
    <t>COUNTROWS(dim_products)</t>
  </si>
  <si>
    <t>Expected 320</t>
  </si>
  <si>
    <t>Unique Product_ID</t>
  </si>
  <si>
    <t>COUNTROWS(fact_returns_2023)</t>
  </si>
  <si>
    <t>Expected 5800</t>
  </si>
  <si>
    <t>May differ from distinct returned orders</t>
  </si>
  <si>
    <t>Profit reconciliation</t>
  </si>
  <si>
    <t>[Total Sales] - [Total Cost] - [Total Profit]</t>
  </si>
  <si>
    <t>Near 0 (rounding tolerance)</t>
  </si>
  <si>
    <t>Use unrounded values</t>
  </si>
  <si>
    <t>Margin reconciliation</t>
  </si>
  <si>
    <t>[Total Profit] / [Total Sales]</t>
  </si>
  <si>
    <t>About 18%</t>
  </si>
  <si>
    <t>Do not average Profit_Margin_Pct</t>
  </si>
  <si>
    <t>Order AOV</t>
  </si>
  <si>
    <t>[Total Sales] / [Total Orders]</t>
  </si>
  <si>
    <t>About $72.06</t>
  </si>
  <si>
    <t>Order grain check</t>
  </si>
  <si>
    <t>Return FK</t>
  </si>
  <si>
    <t>All fact_returns Order_ID values exist in orders</t>
  </si>
  <si>
    <t>0 orphan IDs</t>
  </si>
  <si>
    <t>Use Power Query anti join</t>
  </si>
  <si>
    <t>Customer FK</t>
  </si>
  <si>
    <t>All fact_orders Customer_ID exist in customers</t>
  </si>
  <si>
    <t>Product FK</t>
  </si>
  <si>
    <t>All fact_orders Product_ID exist in products</t>
  </si>
  <si>
    <t>Date coverage</t>
  </si>
  <si>
    <t>2023 orders, 2024 forecast</t>
  </si>
  <si>
    <t>No unexpected periods</t>
  </si>
  <si>
    <t>Parse ISO dates</t>
  </si>
  <si>
    <t>YoY limitation</t>
  </si>
  <si>
    <t>2022 fact absent</t>
  </si>
  <si>
    <t>YoY measures BLANK</t>
  </si>
  <si>
    <t>Do not label screenshot growth as computed</t>
  </si>
  <si>
    <t>Acquisition funnel limitation</t>
  </si>
  <si>
    <t>No website visits or cart events</t>
  </si>
  <si>
    <t>Cannot build real conversion funnel</t>
  </si>
  <si>
    <t>Need event tracking table</t>
  </si>
  <si>
    <t>Retention limitation</t>
  </si>
  <si>
    <t>No pre-2023 customer histories</t>
  </si>
  <si>
    <t>Lifetime cohort retention unavailable</t>
  </si>
  <si>
    <t>Build first-order cohort only within window</t>
  </si>
  <si>
    <t>Forecast granularity</t>
  </si>
  <si>
    <t>Forecast CSV lacks Region and Product_Category</t>
  </si>
  <si>
    <t>Cannot slice forecast by these fields</t>
  </si>
  <si>
    <t>Require forecast allocation fact</t>
  </si>
  <si>
    <t>On-time encoding</t>
  </si>
  <si>
    <t>Inspect On_Time_Delivery distinct values</t>
  </si>
  <si>
    <t>Use correct DAX predicate</t>
  </si>
  <si>
    <t>Yes/No vs boolean</t>
  </si>
  <si>
    <t>Date relationship</t>
  </si>
  <si>
    <t>Return-date relationship inactive</t>
  </si>
  <si>
    <t>USERELATIONSHIP in measures</t>
  </si>
  <si>
    <t>Avoid accidental order-date interpretation</t>
  </si>
  <si>
    <t>Step</t>
  </si>
  <si>
    <t>Workstream</t>
  </si>
  <si>
    <t>Instructions</t>
  </si>
  <si>
    <t>Acceptance criteria</t>
  </si>
  <si>
    <t>01</t>
  </si>
  <si>
    <t>Import CSVs</t>
  </si>
  <si>
    <t>Home &gt; Get Data &gt; Text/CSV; use five tables</t>
  </si>
  <si>
    <t>Set types and disable automatic date/time</t>
  </si>
  <si>
    <t>02</t>
  </si>
  <si>
    <t>Clean data</t>
  </si>
  <si>
    <t>Trim keys; enforce numeric currencies and dates</t>
  </si>
  <si>
    <t>Check nulls, duplicates, orphan keys</t>
  </si>
  <si>
    <t>03</t>
  </si>
  <si>
    <t>Create DimDate</t>
  </si>
  <si>
    <t>Paste calculated table from CALCULATED OBJECTS</t>
  </si>
  <si>
    <t>Mark date table; sort month labels</t>
  </si>
  <si>
    <t>04</t>
  </si>
  <si>
    <t>Build relationships</t>
  </si>
  <si>
    <t>Follow MODEL RELATIONSHIPS</t>
  </si>
  <si>
    <t>Single-direction filters; avoid many-to-many</t>
  </si>
  <si>
    <t>05</t>
  </si>
  <si>
    <t>Create measures</t>
  </si>
  <si>
    <t>Use dedicated Measures table or grouped folders</t>
  </si>
  <si>
    <t>Paste DAX one by one; format each measure</t>
  </si>
  <si>
    <t>06</t>
  </si>
  <si>
    <t>Validate core totals</t>
  </si>
  <si>
    <t>Use table visual with Total Sales, Profit, Orders, Customers</t>
  </si>
  <si>
    <t>Reconcile to source and validation checklist</t>
  </si>
  <si>
    <t>07</t>
  </si>
  <si>
    <t>Design theme</t>
  </si>
  <si>
    <t>Segoe UI; white #FFFFFF; canvas #F3F8FD; navy #10234D; blue #1677E8</t>
  </si>
  <si>
    <t>Rounded cards, 8–12px radius, restrained shadows</t>
  </si>
  <si>
    <t>08</t>
  </si>
  <si>
    <t>Set layout</t>
  </si>
  <si>
    <t>16:9 landscape; consistent 240px nav column</t>
  </si>
  <si>
    <t>Preserve reading order and align visuals</t>
  </si>
  <si>
    <t>09</t>
  </si>
  <si>
    <t>Build nine pages</t>
  </si>
  <si>
    <t>Follow VISUAL BUILD MATRIX</t>
  </si>
  <si>
    <t>No duplicated page composition; page-specific visuals</t>
  </si>
  <si>
    <t>10</t>
  </si>
  <si>
    <t>Add slicers</t>
  </si>
  <si>
    <t>Sync global date; scope local filters</t>
  </si>
  <si>
    <t>Edit interactions deliberately</t>
  </si>
  <si>
    <t>11</t>
  </si>
  <si>
    <t>Add tooltips</t>
  </si>
  <si>
    <t>Sales, Profit, Margin, Orders, customer and return context</t>
  </si>
  <si>
    <t>Dynamic and contextual</t>
  </si>
  <si>
    <t>12</t>
  </si>
  <si>
    <t>Drillthrough</t>
  </si>
  <si>
    <t>Region, Product, Customer detail pages</t>
  </si>
  <si>
    <t>Keep cross-filter context</t>
  </si>
  <si>
    <t>13</t>
  </si>
  <si>
    <t>QA</t>
  </si>
  <si>
    <t>Use VALIDATION CHECKLIST</t>
  </si>
  <si>
    <t>Remove unsupported YoY, funnel, cohort claims</t>
  </si>
  <si>
    <t>14</t>
  </si>
  <si>
    <t>Performance</t>
  </si>
  <si>
    <t>Disable unused auto date/time; use measures; reduce high-cardinality labels</t>
  </si>
  <si>
    <t>Performance Analyzer; optimize model</t>
  </si>
  <si>
    <t>15</t>
  </si>
  <si>
    <t>Publish</t>
  </si>
  <si>
    <t>Check credentials, scheduled refresh, mobile layout</t>
  </si>
  <si>
    <t>Validate data permissions and access</t>
  </si>
  <si>
    <t>Topic</t>
  </si>
  <si>
    <t>Interpretation</t>
  </si>
  <si>
    <t>Synthetic data</t>
  </si>
  <si>
    <t>All values are generated for portfolio demonstration, not business transactions.</t>
  </si>
  <si>
    <t>Visual screenshots</t>
  </si>
  <si>
    <t>Some screenshot figures are inconsistent; data model is the source of truth.</t>
  </si>
  <si>
    <t>Prior year</t>
  </si>
  <si>
    <t>Only 2023 actual transactions exist, so 2023 YoY changes cannot be verified without 2022.</t>
  </si>
  <si>
    <t>Customer lifetime value</t>
  </si>
  <si>
    <t>Revenue per customer during observed period is not lifetime value.</t>
  </si>
  <si>
    <t>New vs returning</t>
  </si>
  <si>
    <t>Customer_Type flags are not necessarily first-order status.</t>
  </si>
  <si>
    <t>Retention cohorts</t>
  </si>
  <si>
    <t>True retention requires first acquisition date and sufficient history.</t>
  </si>
  <si>
    <t>Website funnel</t>
  </si>
  <si>
    <t>Web visits, product views, and add-to-cart events do not exist in provided tables.</t>
  </si>
  <si>
    <t>Order stage funnel</t>
  </si>
  <si>
    <t>Current status is not a stage-history event log.</t>
  </si>
  <si>
    <t>Forecast region/category</t>
  </si>
  <si>
    <t>Forecast table has no region or category granularity.</t>
  </si>
  <si>
    <t>Forecast intervals</t>
  </si>
  <si>
    <t>Provided lower/upper values are illustrative; not validated confidence intervals.</t>
  </si>
  <si>
    <t>Return rate</t>
  </si>
  <si>
    <t>Date denominator should match selected return-cohort policy.</t>
  </si>
  <si>
    <t>Power BI visual export</t>
  </si>
  <si>
    <t>Workbook provides specs and DAX, not a compiled .pbix file.</t>
  </si>
  <si>
    <t>Metric</t>
  </si>
  <si>
    <t>Numerator / input</t>
  </si>
  <si>
    <t>Denominator / input</t>
  </si>
  <si>
    <t>Excel formula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</si>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</sst>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6">
    <font>
      <sz val="11"/>
      <name val="Carlito"/>
    </font>
    <font>
      <b/>
      <sz val="8"/>
      <color rgb="FFFFFFFF"/>
      <name val="Segoe UI"/>
      <family val="2"/>
    </font>
    <font>
      <sz val="8"/>
      <name val="Segoe UI"/>
      <family val="2"/>
    </font>
    <font>
      <sz val="8"/>
      <name val="Carlito"/>
    </font>
    <font>
      <b/>
      <sz val="8"/>
      <color rgb="FFFFFFFF"/>
      <name val="Segoeui"/>
    </font>
    <font>
      <sz val="8"/>
      <name val="Segoeui"/>
    </font>
  </fonts>
  <fills count="3">
    <fill>
      <patternFill patternType="none"/>
    </fill>
    <fill>
      <patternFill patternType="gray125"/>
    </fill>
    <fill>
      <patternFill patternType="solid">
        <fgColor rgb="FF10234D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>
      <pane ySplit="1" topLeftCell="A2" activePane="bottomLeft" state="frozen"/>
      <selection pane="bottomLeft" sqref="A1:B13"/>
    </sheetView>
  </sheetViews>
  <sheetFormatPr defaultRowHeight="11.25"/>
  <cols>
    <col min="1" max="1" width="15.5" style="2" bestFit="1" customWidth="1"/>
    <col min="2" max="2" width="55.125" style="2" bestFit="1" customWidth="1"/>
    <col min="3" max="16384" width="9" style="2"/>
  </cols>
  <sheetData>
    <row r="1" spans="1:2" ht="32.1" customHeight="1">
      <c r="A1" s="3" t="s">
        <v>0</v>
      </c>
      <c r="B1" s="3" t="s">
        <v>1</v>
      </c>
    </row>
    <row r="2" spans="1:2" ht="30" customHeight="1">
      <c r="A2" s="4" t="s">
        <v>2</v>
      </c>
      <c r="B2" s="4" t="s">
        <v>3</v>
      </c>
    </row>
    <row r="3" spans="1:2" ht="30" customHeight="1">
      <c r="A3" s="4" t="s">
        <v>4</v>
      </c>
      <c r="B3" s="4" t="s">
        <v>5</v>
      </c>
    </row>
    <row r="4" spans="1:2" ht="30" customHeight="1">
      <c r="A4" s="4" t="s">
        <v>6</v>
      </c>
      <c r="B4" s="4" t="s">
        <v>7</v>
      </c>
    </row>
    <row r="5" spans="1:2" ht="30" customHeight="1">
      <c r="A5" s="4" t="s">
        <v>8</v>
      </c>
      <c r="B5" s="4" t="s">
        <v>9</v>
      </c>
    </row>
    <row r="6" spans="1:2" ht="30" customHeight="1">
      <c r="A6" s="4" t="s">
        <v>10</v>
      </c>
      <c r="B6" s="4" t="s">
        <v>11</v>
      </c>
    </row>
    <row r="7" spans="1:2" ht="30" customHeight="1">
      <c r="A7" s="4" t="s">
        <v>12</v>
      </c>
      <c r="B7" s="4" t="s">
        <v>13</v>
      </c>
    </row>
    <row r="8" spans="1:2" ht="30" customHeight="1">
      <c r="A8" s="4" t="s">
        <v>14</v>
      </c>
      <c r="B8" s="4" t="s">
        <v>15</v>
      </c>
    </row>
    <row r="9" spans="1:2" ht="30" customHeight="1">
      <c r="A9" s="4" t="s">
        <v>16</v>
      </c>
      <c r="B9" s="4" t="s">
        <v>17</v>
      </c>
    </row>
    <row r="10" spans="1:2" ht="30" customHeight="1">
      <c r="A10" s="4" t="s">
        <v>18</v>
      </c>
      <c r="B10" s="4" t="s">
        <v>19</v>
      </c>
    </row>
    <row r="11" spans="1:2" ht="30" customHeight="1">
      <c r="A11" s="4" t="s">
        <v>20</v>
      </c>
      <c r="B11" s="4" t="s">
        <v>21</v>
      </c>
    </row>
    <row r="12" spans="1:2" ht="30" customHeight="1">
      <c r="A12" s="4" t="s">
        <v>22</v>
      </c>
      <c r="B12" s="4" t="s">
        <v>23</v>
      </c>
    </row>
    <row r="13" spans="1:2" ht="30" customHeight="1">
      <c r="A13" s="4" t="s">
        <v>24</v>
      </c>
      <c r="B13" s="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showGridLines="0" workbookViewId="0">
      <pane ySplit="1" topLeftCell="A34" activePane="bottomLeft" state="frozen"/>
      <selection pane="bottomLeft" activeCell="D1" sqref="D1"/>
    </sheetView>
  </sheetViews>
  <sheetFormatPr defaultRowHeight="11.25"/>
  <cols>
    <col min="1" max="1" width="12.625" style="2" bestFit="1" customWidth="1"/>
    <col min="2" max="2" width="18.375" style="2" bestFit="1" customWidth="1"/>
    <col min="3" max="3" width="11.25" style="2" bestFit="1" customWidth="1"/>
    <col min="4" max="4" width="33.625" style="2" bestFit="1" customWidth="1"/>
    <col min="5" max="5" width="8.125" style="2" bestFit="1" customWidth="1"/>
    <col min="6" max="16384" width="9" style="2"/>
  </cols>
  <sheetData>
    <row r="1" spans="1:5" ht="32.1" customHeight="1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</row>
    <row r="2" spans="1:5" ht="30" customHeight="1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</row>
    <row r="3" spans="1:5" ht="30" customHeight="1">
      <c r="A3" s="4" t="s">
        <v>31</v>
      </c>
      <c r="B3" s="4" t="s">
        <v>36</v>
      </c>
      <c r="C3" s="4" t="s">
        <v>37</v>
      </c>
      <c r="D3" s="4" t="s">
        <v>34</v>
      </c>
      <c r="E3" s="4" t="s">
        <v>35</v>
      </c>
    </row>
    <row r="4" spans="1:5" ht="30" customHeight="1">
      <c r="A4" s="4" t="s">
        <v>31</v>
      </c>
      <c r="B4" s="4" t="s">
        <v>38</v>
      </c>
      <c r="C4" s="4" t="s">
        <v>33</v>
      </c>
      <c r="D4" s="4" t="s">
        <v>34</v>
      </c>
      <c r="E4" s="4" t="s">
        <v>35</v>
      </c>
    </row>
    <row r="5" spans="1:5" ht="30" customHeight="1">
      <c r="A5" s="4" t="s">
        <v>31</v>
      </c>
      <c r="B5" s="4" t="s">
        <v>39</v>
      </c>
      <c r="C5" s="4" t="s">
        <v>33</v>
      </c>
      <c r="D5" s="4" t="s">
        <v>34</v>
      </c>
      <c r="E5" s="4" t="s">
        <v>35</v>
      </c>
    </row>
    <row r="6" spans="1:5" ht="30" customHeight="1">
      <c r="A6" s="4" t="s">
        <v>31</v>
      </c>
      <c r="B6" s="4" t="s">
        <v>40</v>
      </c>
      <c r="C6" s="4" t="s">
        <v>33</v>
      </c>
      <c r="D6" s="4" t="s">
        <v>34</v>
      </c>
      <c r="E6" s="4" t="s">
        <v>35</v>
      </c>
    </row>
    <row r="7" spans="1:5" ht="30" customHeight="1">
      <c r="A7" s="4" t="s">
        <v>31</v>
      </c>
      <c r="B7" s="4" t="s">
        <v>41</v>
      </c>
      <c r="C7" s="4" t="s">
        <v>33</v>
      </c>
      <c r="D7" s="4" t="s">
        <v>34</v>
      </c>
      <c r="E7" s="4" t="s">
        <v>35</v>
      </c>
    </row>
    <row r="8" spans="1:5" ht="30" customHeight="1">
      <c r="A8" s="4" t="s">
        <v>31</v>
      </c>
      <c r="B8" s="4" t="s">
        <v>42</v>
      </c>
      <c r="C8" s="4" t="s">
        <v>33</v>
      </c>
      <c r="D8" s="4" t="s">
        <v>34</v>
      </c>
      <c r="E8" s="4" t="s">
        <v>35</v>
      </c>
    </row>
    <row r="9" spans="1:5" ht="30" customHeight="1">
      <c r="A9" s="4" t="s">
        <v>31</v>
      </c>
      <c r="B9" s="4" t="s">
        <v>43</v>
      </c>
      <c r="C9" s="4" t="s">
        <v>33</v>
      </c>
      <c r="D9" s="4" t="s">
        <v>34</v>
      </c>
      <c r="E9" s="4" t="s">
        <v>35</v>
      </c>
    </row>
    <row r="10" spans="1:5" ht="30" customHeight="1">
      <c r="A10" s="4" t="s">
        <v>31</v>
      </c>
      <c r="B10" s="4" t="s">
        <v>44</v>
      </c>
      <c r="C10" s="4" t="s">
        <v>33</v>
      </c>
      <c r="D10" s="4" t="s">
        <v>34</v>
      </c>
      <c r="E10" s="4" t="s">
        <v>35</v>
      </c>
    </row>
    <row r="11" spans="1:5" ht="30" customHeight="1">
      <c r="A11" s="4" t="s">
        <v>31</v>
      </c>
      <c r="B11" s="4" t="s">
        <v>45</v>
      </c>
      <c r="C11" s="4" t="s">
        <v>33</v>
      </c>
      <c r="D11" s="4" t="s">
        <v>34</v>
      </c>
      <c r="E11" s="4" t="s">
        <v>35</v>
      </c>
    </row>
    <row r="12" spans="1:5" ht="30" customHeight="1">
      <c r="A12" s="4" t="s">
        <v>31</v>
      </c>
      <c r="B12" s="4" t="s">
        <v>46</v>
      </c>
      <c r="C12" s="4" t="s">
        <v>47</v>
      </c>
      <c r="D12" s="4" t="s">
        <v>34</v>
      </c>
      <c r="E12" s="4" t="s">
        <v>35</v>
      </c>
    </row>
    <row r="13" spans="1:5" ht="30" customHeight="1">
      <c r="A13" s="4" t="s">
        <v>31</v>
      </c>
      <c r="B13" s="4" t="s">
        <v>48</v>
      </c>
      <c r="C13" s="4" t="s">
        <v>49</v>
      </c>
      <c r="D13" s="4" t="s">
        <v>34</v>
      </c>
      <c r="E13" s="4" t="s">
        <v>35</v>
      </c>
    </row>
    <row r="14" spans="1:5" ht="30" customHeight="1">
      <c r="A14" s="4" t="s">
        <v>31</v>
      </c>
      <c r="B14" s="4" t="s">
        <v>50</v>
      </c>
      <c r="C14" s="4" t="s">
        <v>49</v>
      </c>
      <c r="D14" s="4" t="s">
        <v>34</v>
      </c>
      <c r="E14" s="4" t="s">
        <v>35</v>
      </c>
    </row>
    <row r="15" spans="1:5" ht="30" customHeight="1">
      <c r="A15" s="4" t="s">
        <v>31</v>
      </c>
      <c r="B15" s="4" t="s">
        <v>51</v>
      </c>
      <c r="C15" s="4" t="s">
        <v>49</v>
      </c>
      <c r="D15" s="4" t="s">
        <v>34</v>
      </c>
      <c r="E15" s="4" t="s">
        <v>35</v>
      </c>
    </row>
    <row r="16" spans="1:5" ht="30" customHeight="1">
      <c r="A16" s="4" t="s">
        <v>31</v>
      </c>
      <c r="B16" s="4" t="s">
        <v>52</v>
      </c>
      <c r="C16" s="4" t="s">
        <v>49</v>
      </c>
      <c r="D16" s="4" t="s">
        <v>34</v>
      </c>
      <c r="E16" s="4" t="s">
        <v>35</v>
      </c>
    </row>
    <row r="17" spans="1:5" ht="30" customHeight="1">
      <c r="A17" s="4" t="s">
        <v>31</v>
      </c>
      <c r="B17" s="4" t="s">
        <v>53</v>
      </c>
      <c r="C17" s="4" t="s">
        <v>49</v>
      </c>
      <c r="D17" s="4" t="s">
        <v>34</v>
      </c>
      <c r="E17" s="4" t="s">
        <v>35</v>
      </c>
    </row>
    <row r="18" spans="1:5" ht="30" customHeight="1">
      <c r="A18" s="4" t="s">
        <v>31</v>
      </c>
      <c r="B18" s="4" t="s">
        <v>54</v>
      </c>
      <c r="C18" s="4" t="s">
        <v>47</v>
      </c>
      <c r="D18" s="4" t="s">
        <v>34</v>
      </c>
      <c r="E18" s="4" t="s">
        <v>35</v>
      </c>
    </row>
    <row r="19" spans="1:5" ht="30" customHeight="1">
      <c r="A19" s="4" t="s">
        <v>31</v>
      </c>
      <c r="B19" s="4" t="s">
        <v>55</v>
      </c>
      <c r="C19" s="4" t="s">
        <v>33</v>
      </c>
      <c r="D19" s="4" t="s">
        <v>34</v>
      </c>
      <c r="E19" s="4" t="s">
        <v>35</v>
      </c>
    </row>
    <row r="20" spans="1:5" ht="30" customHeight="1">
      <c r="A20" s="4" t="s">
        <v>31</v>
      </c>
      <c r="B20" s="4" t="s">
        <v>56</v>
      </c>
      <c r="C20" s="4" t="s">
        <v>37</v>
      </c>
      <c r="D20" s="4" t="s">
        <v>34</v>
      </c>
      <c r="E20" s="4" t="s">
        <v>35</v>
      </c>
    </row>
    <row r="21" spans="1:5" ht="30" customHeight="1">
      <c r="A21" s="4" t="s">
        <v>57</v>
      </c>
      <c r="B21" s="4" t="s">
        <v>39</v>
      </c>
      <c r="C21" s="4" t="s">
        <v>33</v>
      </c>
      <c r="D21" s="4" t="s">
        <v>34</v>
      </c>
      <c r="E21" s="4" t="s">
        <v>35</v>
      </c>
    </row>
    <row r="22" spans="1:5" ht="30" customHeight="1">
      <c r="A22" s="4" t="s">
        <v>57</v>
      </c>
      <c r="B22" s="4" t="s">
        <v>58</v>
      </c>
      <c r="C22" s="4" t="s">
        <v>33</v>
      </c>
      <c r="D22" s="4" t="s">
        <v>34</v>
      </c>
      <c r="E22" s="4" t="s">
        <v>35</v>
      </c>
    </row>
    <row r="23" spans="1:5" ht="30" customHeight="1">
      <c r="A23" s="4" t="s">
        <v>57</v>
      </c>
      <c r="B23" s="4" t="s">
        <v>59</v>
      </c>
      <c r="C23" s="4" t="s">
        <v>33</v>
      </c>
      <c r="D23" s="4" t="s">
        <v>34</v>
      </c>
      <c r="E23" s="4" t="s">
        <v>35</v>
      </c>
    </row>
    <row r="24" spans="1:5" ht="30" customHeight="1">
      <c r="A24" s="4" t="s">
        <v>57</v>
      </c>
      <c r="B24" s="4" t="s">
        <v>60</v>
      </c>
      <c r="C24" s="4" t="s">
        <v>33</v>
      </c>
      <c r="D24" s="4" t="s">
        <v>34</v>
      </c>
      <c r="E24" s="4" t="s">
        <v>35</v>
      </c>
    </row>
    <row r="25" spans="1:5" ht="30" customHeight="1">
      <c r="A25" s="4" t="s">
        <v>57</v>
      </c>
      <c r="B25" s="4" t="s">
        <v>22</v>
      </c>
      <c r="C25" s="4" t="s">
        <v>33</v>
      </c>
      <c r="D25" s="4" t="s">
        <v>34</v>
      </c>
      <c r="E25" s="4" t="s">
        <v>35</v>
      </c>
    </row>
    <row r="26" spans="1:5" ht="30" customHeight="1">
      <c r="A26" s="4" t="s">
        <v>57</v>
      </c>
      <c r="B26" s="4" t="s">
        <v>61</v>
      </c>
      <c r="C26" s="4" t="s">
        <v>49</v>
      </c>
      <c r="D26" s="4" t="s">
        <v>34</v>
      </c>
      <c r="E26" s="4" t="s">
        <v>35</v>
      </c>
    </row>
    <row r="27" spans="1:5" ht="30" customHeight="1">
      <c r="A27" s="4" t="s">
        <v>62</v>
      </c>
      <c r="B27" s="4" t="s">
        <v>38</v>
      </c>
      <c r="C27" s="4" t="s">
        <v>33</v>
      </c>
      <c r="D27" s="4" t="s">
        <v>34</v>
      </c>
      <c r="E27" s="4" t="s">
        <v>35</v>
      </c>
    </row>
    <row r="28" spans="1:5" ht="30" customHeight="1">
      <c r="A28" s="4" t="s">
        <v>62</v>
      </c>
      <c r="B28" s="4" t="s">
        <v>63</v>
      </c>
      <c r="C28" s="4" t="s">
        <v>33</v>
      </c>
      <c r="D28" s="4" t="s">
        <v>34</v>
      </c>
      <c r="E28" s="4" t="s">
        <v>35</v>
      </c>
    </row>
    <row r="29" spans="1:5" ht="30" customHeight="1">
      <c r="A29" s="4" t="s">
        <v>62</v>
      </c>
      <c r="B29" s="4" t="s">
        <v>64</v>
      </c>
      <c r="C29" s="4" t="s">
        <v>33</v>
      </c>
      <c r="D29" s="4" t="s">
        <v>34</v>
      </c>
      <c r="E29" s="4" t="s">
        <v>35</v>
      </c>
    </row>
    <row r="30" spans="1:5" ht="30" customHeight="1">
      <c r="A30" s="4" t="s">
        <v>62</v>
      </c>
      <c r="B30" s="4" t="s">
        <v>65</v>
      </c>
      <c r="C30" s="4" t="s">
        <v>33</v>
      </c>
      <c r="D30" s="4" t="s">
        <v>34</v>
      </c>
      <c r="E30" s="4" t="s">
        <v>35</v>
      </c>
    </row>
    <row r="31" spans="1:5" ht="30" customHeight="1">
      <c r="A31" s="4" t="s">
        <v>62</v>
      </c>
      <c r="B31" s="4" t="s">
        <v>66</v>
      </c>
      <c r="C31" s="4" t="s">
        <v>33</v>
      </c>
      <c r="D31" s="4" t="s">
        <v>34</v>
      </c>
      <c r="E31" s="4" t="s">
        <v>35</v>
      </c>
    </row>
    <row r="32" spans="1:5" ht="30" customHeight="1">
      <c r="A32" s="4" t="s">
        <v>62</v>
      </c>
      <c r="B32" s="4" t="s">
        <v>67</v>
      </c>
      <c r="C32" s="4" t="s">
        <v>33</v>
      </c>
      <c r="D32" s="4" t="s">
        <v>34</v>
      </c>
      <c r="E32" s="4" t="s">
        <v>35</v>
      </c>
    </row>
    <row r="33" spans="1:5" ht="30" customHeight="1">
      <c r="A33" s="4" t="s">
        <v>68</v>
      </c>
      <c r="B33" s="4" t="s">
        <v>69</v>
      </c>
      <c r="C33" s="4" t="s">
        <v>33</v>
      </c>
      <c r="D33" s="4" t="s">
        <v>34</v>
      </c>
      <c r="E33" s="4" t="s">
        <v>35</v>
      </c>
    </row>
    <row r="34" spans="1:5" ht="30" customHeight="1">
      <c r="A34" s="4" t="s">
        <v>68</v>
      </c>
      <c r="B34" s="4" t="s">
        <v>32</v>
      </c>
      <c r="C34" s="4" t="s">
        <v>33</v>
      </c>
      <c r="D34" s="4" t="s">
        <v>34</v>
      </c>
      <c r="E34" s="4" t="s">
        <v>35</v>
      </c>
    </row>
    <row r="35" spans="1:5" ht="30" customHeight="1">
      <c r="A35" s="4" t="s">
        <v>68</v>
      </c>
      <c r="B35" s="4" t="s">
        <v>70</v>
      </c>
      <c r="C35" s="4" t="s">
        <v>37</v>
      </c>
      <c r="D35" s="4" t="s">
        <v>34</v>
      </c>
      <c r="E35" s="4" t="s">
        <v>35</v>
      </c>
    </row>
    <row r="36" spans="1:5" ht="30" customHeight="1">
      <c r="A36" s="4" t="s">
        <v>68</v>
      </c>
      <c r="B36" s="4" t="s">
        <v>71</v>
      </c>
      <c r="C36" s="4" t="s">
        <v>33</v>
      </c>
      <c r="D36" s="4" t="s">
        <v>34</v>
      </c>
      <c r="E36" s="4" t="s">
        <v>35</v>
      </c>
    </row>
    <row r="37" spans="1:5" ht="30" customHeight="1">
      <c r="A37" s="4" t="s">
        <v>68</v>
      </c>
      <c r="B37" s="4" t="s">
        <v>72</v>
      </c>
      <c r="C37" s="4" t="s">
        <v>33</v>
      </c>
      <c r="D37" s="4" t="s">
        <v>34</v>
      </c>
      <c r="E37" s="4" t="s">
        <v>35</v>
      </c>
    </row>
    <row r="38" spans="1:5" ht="30" customHeight="1">
      <c r="A38" s="4" t="s">
        <v>68</v>
      </c>
      <c r="B38" s="4" t="s">
        <v>73</v>
      </c>
      <c r="C38" s="4" t="s">
        <v>49</v>
      </c>
      <c r="D38" s="4" t="s">
        <v>34</v>
      </c>
      <c r="E38" s="4" t="s">
        <v>35</v>
      </c>
    </row>
    <row r="39" spans="1:5" ht="30" customHeight="1">
      <c r="A39" s="4" t="s">
        <v>68</v>
      </c>
      <c r="B39" s="4" t="s">
        <v>74</v>
      </c>
      <c r="C39" s="4" t="s">
        <v>49</v>
      </c>
      <c r="D39" s="4" t="s">
        <v>34</v>
      </c>
      <c r="E39" s="4" t="s">
        <v>35</v>
      </c>
    </row>
    <row r="40" spans="1:5" ht="30" customHeight="1">
      <c r="A40" s="4" t="s">
        <v>75</v>
      </c>
      <c r="B40" s="4" t="s">
        <v>76</v>
      </c>
      <c r="C40" s="4" t="s">
        <v>37</v>
      </c>
      <c r="D40" s="4" t="s">
        <v>34</v>
      </c>
      <c r="E40" s="4" t="s">
        <v>35</v>
      </c>
    </row>
    <row r="41" spans="1:5" ht="30" customHeight="1">
      <c r="A41" s="4" t="s">
        <v>75</v>
      </c>
      <c r="B41" s="4" t="s">
        <v>77</v>
      </c>
      <c r="C41" s="4" t="s">
        <v>49</v>
      </c>
      <c r="D41" s="4" t="s">
        <v>34</v>
      </c>
      <c r="E41" s="4" t="s">
        <v>35</v>
      </c>
    </row>
    <row r="42" spans="1:5" ht="30" customHeight="1">
      <c r="A42" s="4" t="s">
        <v>75</v>
      </c>
      <c r="B42" s="4" t="s">
        <v>78</v>
      </c>
      <c r="C42" s="4" t="s">
        <v>49</v>
      </c>
      <c r="D42" s="4" t="s">
        <v>34</v>
      </c>
      <c r="E42" s="4" t="s">
        <v>35</v>
      </c>
    </row>
    <row r="43" spans="1:5" ht="30" customHeight="1">
      <c r="A43" s="4" t="s">
        <v>75</v>
      </c>
      <c r="B43" s="4" t="s">
        <v>79</v>
      </c>
      <c r="C43" s="4" t="s">
        <v>49</v>
      </c>
      <c r="D43" s="4" t="s">
        <v>34</v>
      </c>
      <c r="E43" s="4" t="s">
        <v>35</v>
      </c>
    </row>
    <row r="44" spans="1:5" ht="30" customHeight="1">
      <c r="A44" s="4" t="s">
        <v>75</v>
      </c>
      <c r="B44" s="4" t="s">
        <v>80</v>
      </c>
      <c r="C44" s="4" t="s">
        <v>47</v>
      </c>
      <c r="D44" s="4" t="s">
        <v>34</v>
      </c>
      <c r="E44" s="4" t="s">
        <v>35</v>
      </c>
    </row>
    <row r="45" spans="1:5" ht="30" customHeight="1">
      <c r="A45" s="4" t="s">
        <v>75</v>
      </c>
      <c r="B45" s="4" t="s">
        <v>81</v>
      </c>
      <c r="C45" s="4" t="s">
        <v>47</v>
      </c>
      <c r="D45" s="4" t="s">
        <v>34</v>
      </c>
      <c r="E45" s="4" t="s">
        <v>35</v>
      </c>
    </row>
    <row r="46" spans="1:5" ht="30" customHeight="1">
      <c r="A46" s="4" t="s">
        <v>75</v>
      </c>
      <c r="B46" s="4" t="s">
        <v>82</v>
      </c>
      <c r="C46" s="4" t="s">
        <v>47</v>
      </c>
      <c r="D46" s="4" t="s">
        <v>34</v>
      </c>
      <c r="E46" s="4" t="s">
        <v>35</v>
      </c>
    </row>
    <row r="47" spans="1:5" ht="30" customHeight="1">
      <c r="A47" s="4" t="s">
        <v>75</v>
      </c>
      <c r="B47" s="4" t="s">
        <v>83</v>
      </c>
      <c r="C47" s="4" t="s">
        <v>49</v>
      </c>
      <c r="D47" s="4" t="s">
        <v>34</v>
      </c>
      <c r="E47" s="4" t="s">
        <v>35</v>
      </c>
    </row>
    <row r="48" spans="1:5" ht="30" customHeight="1">
      <c r="A48" s="4" t="s">
        <v>75</v>
      </c>
      <c r="B48" s="4" t="s">
        <v>84</v>
      </c>
      <c r="C48" s="4" t="s">
        <v>49</v>
      </c>
      <c r="D48" s="4" t="s">
        <v>34</v>
      </c>
      <c r="E48" s="4" t="s">
        <v>35</v>
      </c>
    </row>
    <row r="49" spans="1:5" ht="30" customHeight="1">
      <c r="A49" s="4" t="s">
        <v>75</v>
      </c>
      <c r="B49" s="4" t="s">
        <v>85</v>
      </c>
      <c r="C49" s="4" t="s">
        <v>49</v>
      </c>
      <c r="D49" s="4" t="s">
        <v>34</v>
      </c>
      <c r="E49" s="4" t="s">
        <v>35</v>
      </c>
    </row>
    <row r="50" spans="1:5" ht="30" customHeight="1">
      <c r="A50" s="4" t="s">
        <v>75</v>
      </c>
      <c r="B50" s="4" t="s">
        <v>86</v>
      </c>
      <c r="C50" s="4" t="s">
        <v>33</v>
      </c>
      <c r="D50" s="4" t="s">
        <v>34</v>
      </c>
      <c r="E50" s="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workbookViewId="0">
      <pane ySplit="1" topLeftCell="A2" activePane="bottomLeft" state="frozen"/>
      <selection pane="bottomLeft" activeCell="F21" sqref="F21"/>
    </sheetView>
  </sheetViews>
  <sheetFormatPr defaultRowHeight="11.25"/>
  <cols>
    <col min="1" max="1" width="18.625" style="6" bestFit="1" customWidth="1"/>
    <col min="2" max="2" width="23.75" style="6" bestFit="1" customWidth="1"/>
    <col min="3" max="3" width="8.125" style="6" bestFit="1" customWidth="1"/>
    <col min="4" max="4" width="8.75" style="6" bestFit="1" customWidth="1"/>
    <col min="5" max="5" width="11.25" style="6" bestFit="1" customWidth="1"/>
    <col min="6" max="6" width="41.375" style="6" bestFit="1" customWidth="1"/>
    <col min="7" max="16384" width="9" style="6"/>
  </cols>
  <sheetData>
    <row r="1" spans="1:6" ht="32.1" customHeight="1">
      <c r="A1" s="7" t="s">
        <v>87</v>
      </c>
      <c r="B1" s="7" t="s">
        <v>88</v>
      </c>
      <c r="C1" s="7" t="s">
        <v>89</v>
      </c>
      <c r="D1" s="7" t="s">
        <v>90</v>
      </c>
      <c r="E1" s="7" t="s">
        <v>91</v>
      </c>
      <c r="F1" s="7" t="s">
        <v>92</v>
      </c>
    </row>
    <row r="2" spans="1:6" ht="30" customHeight="1">
      <c r="A2" s="8" t="s">
        <v>93</v>
      </c>
      <c r="B2" s="8" t="s">
        <v>94</v>
      </c>
      <c r="C2" s="8" t="s">
        <v>95</v>
      </c>
      <c r="D2" s="8" t="s">
        <v>96</v>
      </c>
      <c r="E2" s="8" t="s">
        <v>97</v>
      </c>
      <c r="F2" s="8" t="s">
        <v>98</v>
      </c>
    </row>
    <row r="3" spans="1:6" ht="30" customHeight="1">
      <c r="A3" s="8" t="s">
        <v>99</v>
      </c>
      <c r="B3" s="8" t="s">
        <v>100</v>
      </c>
      <c r="C3" s="8" t="s">
        <v>95</v>
      </c>
      <c r="D3" s="8" t="s">
        <v>96</v>
      </c>
      <c r="E3" s="8" t="s">
        <v>97</v>
      </c>
      <c r="F3" s="8" t="s">
        <v>101</v>
      </c>
    </row>
    <row r="4" spans="1:6" ht="30" customHeight="1">
      <c r="A4" s="8" t="s">
        <v>102</v>
      </c>
      <c r="B4" s="8" t="s">
        <v>103</v>
      </c>
      <c r="C4" s="8" t="s">
        <v>95</v>
      </c>
      <c r="D4" s="8" t="s">
        <v>96</v>
      </c>
      <c r="E4" s="8" t="s">
        <v>97</v>
      </c>
      <c r="F4" s="8" t="s">
        <v>104</v>
      </c>
    </row>
    <row r="5" spans="1:6" ht="30" customHeight="1">
      <c r="A5" s="8" t="s">
        <v>105</v>
      </c>
      <c r="B5" s="8" t="s">
        <v>106</v>
      </c>
      <c r="C5" s="8" t="s">
        <v>95</v>
      </c>
      <c r="D5" s="8" t="s">
        <v>96</v>
      </c>
      <c r="E5" s="8" t="s">
        <v>97</v>
      </c>
      <c r="F5" s="8" t="s">
        <v>107</v>
      </c>
    </row>
    <row r="6" spans="1:6" ht="30" customHeight="1">
      <c r="A6" s="8" t="s">
        <v>105</v>
      </c>
      <c r="B6" s="8" t="s">
        <v>108</v>
      </c>
      <c r="C6" s="8" t="s">
        <v>95</v>
      </c>
      <c r="D6" s="8" t="s">
        <v>96</v>
      </c>
      <c r="E6" s="8" t="s">
        <v>109</v>
      </c>
      <c r="F6" s="8" t="s">
        <v>110</v>
      </c>
    </row>
    <row r="7" spans="1:6" ht="30" customHeight="1">
      <c r="A7" s="8" t="s">
        <v>105</v>
      </c>
      <c r="B7" s="8" t="s">
        <v>111</v>
      </c>
      <c r="C7" s="8" t="s">
        <v>95</v>
      </c>
      <c r="D7" s="8" t="s">
        <v>96</v>
      </c>
      <c r="E7" s="8" t="s">
        <v>112</v>
      </c>
      <c r="F7" s="8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0.5"/>
  <cols>
    <col min="1" max="1" width="11.625" style="1" bestFit="1" customWidth="1"/>
    <col min="2" max="2" width="12.75" style="1" bestFit="1" customWidth="1"/>
    <col min="3" max="3" width="207.75" style="1" bestFit="1" customWidth="1"/>
    <col min="4" max="4" width="64.125" style="1" bestFit="1" customWidth="1"/>
    <col min="5" max="16384" width="9" style="1"/>
  </cols>
  <sheetData>
    <row r="1" spans="1:4" ht="32.1" customHeight="1">
      <c r="A1" s="5" t="s">
        <v>26</v>
      </c>
      <c r="B1" s="5" t="s">
        <v>114</v>
      </c>
      <c r="C1" s="5" t="s">
        <v>115</v>
      </c>
      <c r="D1" s="5" t="s">
        <v>92</v>
      </c>
    </row>
    <row r="2" spans="1:4" ht="30" customHeight="1">
      <c r="A2" s="4" t="s">
        <v>116</v>
      </c>
      <c r="B2" s="4" t="s">
        <v>117</v>
      </c>
      <c r="C2" s="4" t="s">
        <v>118</v>
      </c>
      <c r="D2" s="4" t="s">
        <v>119</v>
      </c>
    </row>
    <row r="3" spans="1:4" ht="30" customHeight="1">
      <c r="A3" s="4" t="s">
        <v>31</v>
      </c>
      <c r="B3" s="4" t="s">
        <v>120</v>
      </c>
      <c r="C3" s="4" t="s">
        <v>121</v>
      </c>
      <c r="D3" s="4" t="s">
        <v>122</v>
      </c>
    </row>
    <row r="4" spans="1:4" ht="30" customHeight="1">
      <c r="A4" s="4" t="s">
        <v>31</v>
      </c>
      <c r="B4" s="4" t="s">
        <v>120</v>
      </c>
      <c r="C4" s="4" t="s">
        <v>123</v>
      </c>
      <c r="D4" s="4" t="s">
        <v>124</v>
      </c>
    </row>
    <row r="5" spans="1:4" ht="30" customHeight="1">
      <c r="A5" s="4" t="s">
        <v>31</v>
      </c>
      <c r="B5" s="4" t="s">
        <v>120</v>
      </c>
      <c r="C5" s="4" t="s">
        <v>125</v>
      </c>
      <c r="D5" s="4" t="s">
        <v>126</v>
      </c>
    </row>
    <row r="6" spans="1:4" ht="30" customHeight="1">
      <c r="A6" s="4" t="s">
        <v>57</v>
      </c>
      <c r="B6" s="4" t="s">
        <v>120</v>
      </c>
      <c r="C6" s="4" t="s">
        <v>127</v>
      </c>
      <c r="D6" s="4" t="s">
        <v>128</v>
      </c>
    </row>
    <row r="7" spans="1:4" ht="30" customHeight="1">
      <c r="A7" s="4" t="s">
        <v>31</v>
      </c>
      <c r="B7" s="4" t="s">
        <v>120</v>
      </c>
      <c r="C7" s="4" t="s">
        <v>129</v>
      </c>
      <c r="D7" s="4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7"/>
  <sheetViews>
    <sheetView showGridLines="0" workbookViewId="0">
      <pane ySplit="1" topLeftCell="A59" activePane="bottomLeft" state="frozen"/>
      <selection pane="bottomLeft" activeCell="C74" sqref="C74"/>
    </sheetView>
  </sheetViews>
  <sheetFormatPr defaultRowHeight="11.25"/>
  <cols>
    <col min="1" max="1" width="7.625" style="2" bestFit="1" customWidth="1"/>
    <col min="2" max="2" width="22" style="2" bestFit="1" customWidth="1"/>
    <col min="3" max="3" width="133.625" style="2" bestFit="1" customWidth="1"/>
    <col min="4" max="4" width="7.25" style="2" bestFit="1" customWidth="1"/>
    <col min="5" max="5" width="51.5" style="2" bestFit="1" customWidth="1"/>
    <col min="6" max="6" width="8.25" style="2" bestFit="1" customWidth="1"/>
    <col min="7" max="16384" width="9" style="2"/>
  </cols>
  <sheetData>
    <row r="1" spans="1:6" ht="32.1" customHeight="1">
      <c r="A1" s="5" t="s">
        <v>131</v>
      </c>
      <c r="B1" s="5" t="s">
        <v>132</v>
      </c>
      <c r="C1" s="5" t="s">
        <v>133</v>
      </c>
      <c r="D1" s="5" t="s">
        <v>134</v>
      </c>
      <c r="E1" s="5" t="s">
        <v>135</v>
      </c>
      <c r="F1" s="5" t="s">
        <v>136</v>
      </c>
    </row>
    <row r="2" spans="1:6" ht="30" customHeight="1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</row>
    <row r="3" spans="1:6" ht="30" customHeight="1">
      <c r="A3" s="4" t="s">
        <v>137</v>
      </c>
      <c r="B3" s="4" t="s">
        <v>143</v>
      </c>
      <c r="C3" s="4" t="s">
        <v>144</v>
      </c>
      <c r="D3" s="4" t="s">
        <v>140</v>
      </c>
      <c r="E3" s="4" t="s">
        <v>145</v>
      </c>
      <c r="F3" s="4" t="s">
        <v>146</v>
      </c>
    </row>
    <row r="4" spans="1:6" ht="30" customHeight="1">
      <c r="A4" s="4" t="s">
        <v>137</v>
      </c>
      <c r="B4" s="4" t="s">
        <v>147</v>
      </c>
      <c r="C4" s="4" t="s">
        <v>148</v>
      </c>
      <c r="D4" s="4" t="s">
        <v>140</v>
      </c>
      <c r="E4" s="4" t="s">
        <v>149</v>
      </c>
      <c r="F4" s="4" t="s">
        <v>142</v>
      </c>
    </row>
    <row r="5" spans="1:6" ht="30" customHeight="1">
      <c r="A5" s="4" t="s">
        <v>137</v>
      </c>
      <c r="B5" s="4" t="s">
        <v>150</v>
      </c>
      <c r="C5" s="4" t="s">
        <v>151</v>
      </c>
      <c r="D5" s="4" t="s">
        <v>152</v>
      </c>
      <c r="E5" s="4" t="s">
        <v>153</v>
      </c>
      <c r="F5" s="4" t="s">
        <v>142</v>
      </c>
    </row>
    <row r="6" spans="1:6" ht="30" customHeight="1">
      <c r="A6" s="4" t="s">
        <v>137</v>
      </c>
      <c r="B6" s="4" t="s">
        <v>154</v>
      </c>
      <c r="C6" s="4" t="s">
        <v>155</v>
      </c>
      <c r="D6" s="4" t="s">
        <v>156</v>
      </c>
      <c r="E6" s="4" t="s">
        <v>157</v>
      </c>
      <c r="F6" s="4" t="s">
        <v>142</v>
      </c>
    </row>
    <row r="7" spans="1:6" ht="30" customHeight="1">
      <c r="A7" s="4" t="s">
        <v>137</v>
      </c>
      <c r="B7" s="4" t="s">
        <v>158</v>
      </c>
      <c r="C7" s="4" t="s">
        <v>159</v>
      </c>
      <c r="D7" s="4" t="s">
        <v>156</v>
      </c>
      <c r="E7" s="4" t="s">
        <v>160</v>
      </c>
      <c r="F7" s="4" t="s">
        <v>161</v>
      </c>
    </row>
    <row r="8" spans="1:6" ht="30" customHeight="1">
      <c r="A8" s="4" t="s">
        <v>137</v>
      </c>
      <c r="B8" s="4" t="s">
        <v>162</v>
      </c>
      <c r="C8" s="4" t="s">
        <v>163</v>
      </c>
      <c r="D8" s="4" t="s">
        <v>156</v>
      </c>
      <c r="E8" s="4" t="s">
        <v>164</v>
      </c>
      <c r="F8" s="4" t="s">
        <v>142</v>
      </c>
    </row>
    <row r="9" spans="1:6" ht="30" customHeight="1">
      <c r="A9" s="4" t="s">
        <v>137</v>
      </c>
      <c r="B9" s="4" t="s">
        <v>165</v>
      </c>
      <c r="C9" s="4" t="s">
        <v>166</v>
      </c>
      <c r="D9" s="4" t="s">
        <v>156</v>
      </c>
      <c r="E9" s="4" t="s">
        <v>167</v>
      </c>
      <c r="F9" s="4" t="s">
        <v>168</v>
      </c>
    </row>
    <row r="10" spans="1:6" ht="30" customHeight="1">
      <c r="A10" s="4" t="s">
        <v>137</v>
      </c>
      <c r="B10" s="4" t="s">
        <v>169</v>
      </c>
      <c r="C10" s="4" t="s">
        <v>170</v>
      </c>
      <c r="D10" s="4" t="s">
        <v>156</v>
      </c>
      <c r="E10" s="4" t="s">
        <v>171</v>
      </c>
      <c r="F10" s="4" t="s">
        <v>172</v>
      </c>
    </row>
    <row r="11" spans="1:6" ht="30" customHeight="1">
      <c r="A11" s="4" t="s">
        <v>137</v>
      </c>
      <c r="B11" s="4" t="s">
        <v>173</v>
      </c>
      <c r="C11" s="4" t="s">
        <v>174</v>
      </c>
      <c r="D11" s="4" t="s">
        <v>156</v>
      </c>
      <c r="E11" s="4" t="s">
        <v>175</v>
      </c>
      <c r="F11" s="4" t="s">
        <v>172</v>
      </c>
    </row>
    <row r="12" spans="1:6" ht="30" customHeight="1">
      <c r="A12" s="4" t="s">
        <v>137</v>
      </c>
      <c r="B12" s="4" t="s">
        <v>176</v>
      </c>
      <c r="C12" s="4" t="s">
        <v>177</v>
      </c>
      <c r="D12" s="4" t="s">
        <v>156</v>
      </c>
      <c r="E12" s="4" t="s">
        <v>178</v>
      </c>
      <c r="F12" s="4" t="s">
        <v>172</v>
      </c>
    </row>
    <row r="13" spans="1:6" ht="30" customHeight="1">
      <c r="A13" s="4" t="s">
        <v>137</v>
      </c>
      <c r="B13" s="4" t="s">
        <v>179</v>
      </c>
      <c r="C13" s="4" t="s">
        <v>180</v>
      </c>
      <c r="D13" s="4" t="s">
        <v>140</v>
      </c>
      <c r="E13" s="4" t="s">
        <v>181</v>
      </c>
      <c r="F13" s="4" t="s">
        <v>182</v>
      </c>
    </row>
    <row r="14" spans="1:6" ht="30" customHeight="1">
      <c r="A14" s="4" t="s">
        <v>137</v>
      </c>
      <c r="B14" s="4" t="s">
        <v>183</v>
      </c>
      <c r="C14" s="4" t="s">
        <v>184</v>
      </c>
      <c r="D14" s="4" t="s">
        <v>140</v>
      </c>
      <c r="E14" s="4" t="s">
        <v>185</v>
      </c>
      <c r="F14" s="4" t="s">
        <v>146</v>
      </c>
    </row>
    <row r="15" spans="1:6" ht="30" customHeight="1">
      <c r="A15" s="4" t="s">
        <v>137</v>
      </c>
      <c r="B15" s="4" t="s">
        <v>186</v>
      </c>
      <c r="C15" s="4" t="s">
        <v>187</v>
      </c>
      <c r="D15" s="4" t="s">
        <v>140</v>
      </c>
      <c r="E15" s="4" t="s">
        <v>188</v>
      </c>
      <c r="F15" s="4" t="s">
        <v>172</v>
      </c>
    </row>
    <row r="16" spans="1:6" ht="30" customHeight="1">
      <c r="A16" s="4" t="s">
        <v>137</v>
      </c>
      <c r="B16" s="4" t="s">
        <v>189</v>
      </c>
      <c r="C16" s="4" t="s">
        <v>190</v>
      </c>
      <c r="D16" s="4" t="s">
        <v>140</v>
      </c>
      <c r="E16" s="4" t="s">
        <v>191</v>
      </c>
      <c r="F16" s="4" t="s">
        <v>172</v>
      </c>
    </row>
    <row r="17" spans="1:6" ht="30" customHeight="1">
      <c r="A17" s="4" t="s">
        <v>192</v>
      </c>
      <c r="B17" s="4" t="s">
        <v>193</v>
      </c>
      <c r="C17" s="4" t="s">
        <v>194</v>
      </c>
      <c r="D17" s="4" t="s">
        <v>140</v>
      </c>
      <c r="E17" s="4" t="s">
        <v>195</v>
      </c>
      <c r="F17" s="4" t="s">
        <v>182</v>
      </c>
    </row>
    <row r="18" spans="1:6" ht="30" customHeight="1">
      <c r="A18" s="4" t="s">
        <v>192</v>
      </c>
      <c r="B18" s="4" t="s">
        <v>196</v>
      </c>
      <c r="C18" s="4" t="s">
        <v>197</v>
      </c>
      <c r="D18" s="4" t="s">
        <v>152</v>
      </c>
      <c r="E18" s="4" t="s">
        <v>198</v>
      </c>
      <c r="F18" s="4" t="s">
        <v>142</v>
      </c>
    </row>
    <row r="19" spans="1:6" ht="30" customHeight="1">
      <c r="A19" s="4" t="s">
        <v>192</v>
      </c>
      <c r="B19" s="4" t="s">
        <v>199</v>
      </c>
      <c r="C19" s="4" t="s">
        <v>200</v>
      </c>
      <c r="D19" s="4" t="s">
        <v>140</v>
      </c>
      <c r="E19" s="4" t="s">
        <v>201</v>
      </c>
      <c r="F19" s="4" t="s">
        <v>146</v>
      </c>
    </row>
    <row r="20" spans="1:6" ht="30" customHeight="1">
      <c r="A20" s="4" t="s">
        <v>192</v>
      </c>
      <c r="B20" s="4" t="s">
        <v>202</v>
      </c>
      <c r="C20" s="4" t="s">
        <v>203</v>
      </c>
      <c r="D20" s="4" t="s">
        <v>152</v>
      </c>
      <c r="E20" s="4" t="s">
        <v>204</v>
      </c>
      <c r="F20" s="4" t="s">
        <v>146</v>
      </c>
    </row>
    <row r="21" spans="1:6" ht="30" customHeight="1">
      <c r="A21" s="4" t="s">
        <v>192</v>
      </c>
      <c r="B21" s="4" t="s">
        <v>205</v>
      </c>
      <c r="C21" s="4" t="s">
        <v>206</v>
      </c>
      <c r="D21" s="4" t="s">
        <v>156</v>
      </c>
      <c r="E21" s="4" t="s">
        <v>207</v>
      </c>
      <c r="F21" s="4" t="s">
        <v>161</v>
      </c>
    </row>
    <row r="22" spans="1:6" ht="30" customHeight="1">
      <c r="A22" s="4" t="s">
        <v>192</v>
      </c>
      <c r="B22" s="4" t="s">
        <v>208</v>
      </c>
      <c r="C22" s="4" t="s">
        <v>209</v>
      </c>
      <c r="D22" s="4" t="s">
        <v>152</v>
      </c>
      <c r="E22" s="4" t="s">
        <v>204</v>
      </c>
      <c r="F22" s="4" t="s">
        <v>161</v>
      </c>
    </row>
    <row r="23" spans="1:6" ht="30" customHeight="1">
      <c r="A23" s="4" t="s">
        <v>192</v>
      </c>
      <c r="B23" s="4" t="s">
        <v>210</v>
      </c>
      <c r="C23" s="4" t="s">
        <v>211</v>
      </c>
      <c r="D23" s="4" t="s">
        <v>140</v>
      </c>
      <c r="E23" s="4" t="s">
        <v>212</v>
      </c>
      <c r="F23" s="4" t="s">
        <v>182</v>
      </c>
    </row>
    <row r="24" spans="1:6" ht="30" customHeight="1">
      <c r="A24" s="4" t="s">
        <v>192</v>
      </c>
      <c r="B24" s="4" t="s">
        <v>213</v>
      </c>
      <c r="C24" s="4" t="s">
        <v>214</v>
      </c>
      <c r="D24" s="4" t="s">
        <v>140</v>
      </c>
      <c r="E24" s="4" t="s">
        <v>215</v>
      </c>
      <c r="F24" s="4" t="s">
        <v>182</v>
      </c>
    </row>
    <row r="25" spans="1:6" ht="30" customHeight="1">
      <c r="A25" s="4" t="s">
        <v>192</v>
      </c>
      <c r="B25" s="4" t="s">
        <v>216</v>
      </c>
      <c r="C25" s="4" t="s">
        <v>217</v>
      </c>
      <c r="D25" s="4" t="s">
        <v>140</v>
      </c>
      <c r="E25" s="4" t="s">
        <v>218</v>
      </c>
      <c r="F25" s="4" t="s">
        <v>182</v>
      </c>
    </row>
    <row r="26" spans="1:6" ht="30" customHeight="1">
      <c r="A26" s="4" t="s">
        <v>192</v>
      </c>
      <c r="B26" s="4" t="s">
        <v>219</v>
      </c>
      <c r="C26" s="4" t="s">
        <v>220</v>
      </c>
      <c r="D26" s="4" t="s">
        <v>140</v>
      </c>
      <c r="E26" s="4" t="s">
        <v>221</v>
      </c>
      <c r="F26" s="4" t="s">
        <v>182</v>
      </c>
    </row>
    <row r="27" spans="1:6" ht="30" customHeight="1">
      <c r="A27" s="4" t="s">
        <v>192</v>
      </c>
      <c r="B27" s="4" t="s">
        <v>222</v>
      </c>
      <c r="C27" s="4" t="s">
        <v>223</v>
      </c>
      <c r="D27" s="4" t="s">
        <v>152</v>
      </c>
      <c r="E27" s="4" t="s">
        <v>224</v>
      </c>
      <c r="F27" s="4" t="s">
        <v>182</v>
      </c>
    </row>
    <row r="28" spans="1:6" ht="30" customHeight="1">
      <c r="A28" s="4" t="s">
        <v>192</v>
      </c>
      <c r="B28" s="4" t="s">
        <v>225</v>
      </c>
      <c r="C28" s="4" t="s">
        <v>226</v>
      </c>
      <c r="D28" s="4" t="s">
        <v>140</v>
      </c>
      <c r="E28" s="4" t="s">
        <v>227</v>
      </c>
      <c r="F28" s="4" t="s">
        <v>182</v>
      </c>
    </row>
    <row r="29" spans="1:6" ht="30" customHeight="1">
      <c r="A29" s="4" t="s">
        <v>192</v>
      </c>
      <c r="B29" s="4" t="s">
        <v>228</v>
      </c>
      <c r="C29" s="4" t="s">
        <v>229</v>
      </c>
      <c r="D29" s="4" t="s">
        <v>140</v>
      </c>
      <c r="E29" s="4" t="s">
        <v>230</v>
      </c>
      <c r="F29" s="4" t="s">
        <v>182</v>
      </c>
    </row>
    <row r="30" spans="1:6" ht="30" customHeight="1">
      <c r="A30" s="4" t="s">
        <v>231</v>
      </c>
      <c r="B30" s="4" t="s">
        <v>232</v>
      </c>
      <c r="C30" s="4" t="s">
        <v>233</v>
      </c>
      <c r="D30" s="4" t="s">
        <v>152</v>
      </c>
      <c r="E30" s="4" t="s">
        <v>234</v>
      </c>
      <c r="F30" s="4" t="s">
        <v>172</v>
      </c>
    </row>
    <row r="31" spans="1:6" ht="30" customHeight="1">
      <c r="A31" s="4" t="s">
        <v>231</v>
      </c>
      <c r="B31" s="4" t="s">
        <v>235</v>
      </c>
      <c r="C31" s="4" t="s">
        <v>236</v>
      </c>
      <c r="D31" s="4" t="s">
        <v>152</v>
      </c>
      <c r="E31" s="4" t="s">
        <v>237</v>
      </c>
      <c r="F31" s="4" t="s">
        <v>238</v>
      </c>
    </row>
    <row r="32" spans="1:6" ht="30" customHeight="1">
      <c r="A32" s="4" t="s">
        <v>231</v>
      </c>
      <c r="B32" s="4" t="s">
        <v>239</v>
      </c>
      <c r="C32" s="4" t="s">
        <v>240</v>
      </c>
      <c r="D32" s="4" t="s">
        <v>241</v>
      </c>
      <c r="E32" s="4" t="s">
        <v>242</v>
      </c>
      <c r="F32" s="4" t="s">
        <v>172</v>
      </c>
    </row>
    <row r="33" spans="1:6" ht="30" customHeight="1">
      <c r="A33" s="4" t="s">
        <v>231</v>
      </c>
      <c r="B33" s="4" t="s">
        <v>243</v>
      </c>
      <c r="C33" s="4" t="s">
        <v>244</v>
      </c>
      <c r="D33" s="4" t="s">
        <v>241</v>
      </c>
      <c r="E33" s="4" t="s">
        <v>245</v>
      </c>
      <c r="F33" s="4" t="s">
        <v>146</v>
      </c>
    </row>
    <row r="34" spans="1:6" ht="30" customHeight="1">
      <c r="A34" s="4" t="s">
        <v>231</v>
      </c>
      <c r="B34" s="4" t="s">
        <v>246</v>
      </c>
      <c r="C34" s="4" t="s">
        <v>247</v>
      </c>
      <c r="D34" s="4" t="s">
        <v>152</v>
      </c>
      <c r="E34" s="4" t="s">
        <v>248</v>
      </c>
      <c r="F34" s="4" t="s">
        <v>146</v>
      </c>
    </row>
    <row r="35" spans="1:6" ht="30" customHeight="1">
      <c r="A35" s="4" t="s">
        <v>168</v>
      </c>
      <c r="B35" s="4" t="s">
        <v>249</v>
      </c>
      <c r="C35" s="4" t="s">
        <v>250</v>
      </c>
      <c r="D35" s="4" t="s">
        <v>156</v>
      </c>
      <c r="E35" s="4" t="s">
        <v>251</v>
      </c>
      <c r="F35" s="4" t="s">
        <v>168</v>
      </c>
    </row>
    <row r="36" spans="1:6" ht="30" customHeight="1">
      <c r="A36" s="4" t="s">
        <v>168</v>
      </c>
      <c r="B36" s="4" t="s">
        <v>252</v>
      </c>
      <c r="C36" s="4" t="s">
        <v>253</v>
      </c>
      <c r="D36" s="4" t="s">
        <v>156</v>
      </c>
      <c r="E36" s="4" t="s">
        <v>254</v>
      </c>
      <c r="F36" s="4" t="s">
        <v>168</v>
      </c>
    </row>
    <row r="37" spans="1:6" ht="30" customHeight="1">
      <c r="A37" s="4" t="s">
        <v>168</v>
      </c>
      <c r="B37" s="4" t="s">
        <v>255</v>
      </c>
      <c r="C37" s="4" t="s">
        <v>256</v>
      </c>
      <c r="D37" s="4" t="s">
        <v>257</v>
      </c>
      <c r="E37" s="4" t="s">
        <v>258</v>
      </c>
      <c r="F37" s="4" t="s">
        <v>168</v>
      </c>
    </row>
    <row r="38" spans="1:6" ht="30" customHeight="1">
      <c r="A38" s="4" t="s">
        <v>168</v>
      </c>
      <c r="B38" s="4" t="s">
        <v>259</v>
      </c>
      <c r="C38" s="4" t="s">
        <v>260</v>
      </c>
      <c r="D38" s="4" t="s">
        <v>140</v>
      </c>
      <c r="E38" s="4" t="s">
        <v>261</v>
      </c>
      <c r="F38" s="4" t="s">
        <v>168</v>
      </c>
    </row>
    <row r="39" spans="1:6" ht="30" customHeight="1">
      <c r="A39" s="4" t="s">
        <v>168</v>
      </c>
      <c r="B39" s="4" t="s">
        <v>262</v>
      </c>
      <c r="C39" s="4" t="s">
        <v>263</v>
      </c>
      <c r="D39" s="4" t="s">
        <v>152</v>
      </c>
      <c r="E39" s="4" t="s">
        <v>264</v>
      </c>
      <c r="F39" s="4" t="s">
        <v>168</v>
      </c>
    </row>
    <row r="40" spans="1:6" ht="30" customHeight="1">
      <c r="A40" s="4" t="s">
        <v>168</v>
      </c>
      <c r="B40" s="4" t="s">
        <v>265</v>
      </c>
      <c r="C40" s="4" t="s">
        <v>266</v>
      </c>
      <c r="D40" s="4" t="s">
        <v>156</v>
      </c>
      <c r="E40" s="4" t="s">
        <v>267</v>
      </c>
      <c r="F40" s="4" t="s">
        <v>168</v>
      </c>
    </row>
    <row r="41" spans="1:6" ht="30" customHeight="1">
      <c r="A41" s="4" t="s">
        <v>168</v>
      </c>
      <c r="B41" s="4" t="s">
        <v>268</v>
      </c>
      <c r="C41" s="4" t="s">
        <v>269</v>
      </c>
      <c r="D41" s="4" t="s">
        <v>152</v>
      </c>
      <c r="E41" s="4" t="s">
        <v>270</v>
      </c>
      <c r="F41" s="4" t="s">
        <v>168</v>
      </c>
    </row>
    <row r="42" spans="1:6" ht="30" customHeight="1">
      <c r="A42" s="4" t="s">
        <v>168</v>
      </c>
      <c r="B42" s="4" t="s">
        <v>271</v>
      </c>
      <c r="C42" s="4" t="s">
        <v>272</v>
      </c>
      <c r="D42" s="4" t="s">
        <v>241</v>
      </c>
      <c r="E42" s="4" t="s">
        <v>273</v>
      </c>
      <c r="F42" s="4" t="s">
        <v>168</v>
      </c>
    </row>
    <row r="43" spans="1:6" ht="30" customHeight="1">
      <c r="A43" s="4" t="s">
        <v>161</v>
      </c>
      <c r="B43" s="4" t="s">
        <v>274</v>
      </c>
      <c r="C43" s="4" t="s">
        <v>275</v>
      </c>
      <c r="D43" s="4" t="s">
        <v>156</v>
      </c>
      <c r="E43" s="4" t="s">
        <v>276</v>
      </c>
      <c r="F43" s="4" t="s">
        <v>161</v>
      </c>
    </row>
    <row r="44" spans="1:6" ht="30" customHeight="1">
      <c r="A44" s="4" t="s">
        <v>161</v>
      </c>
      <c r="B44" s="4" t="s">
        <v>277</v>
      </c>
      <c r="C44" s="4" t="s">
        <v>278</v>
      </c>
      <c r="D44" s="4" t="s">
        <v>156</v>
      </c>
      <c r="E44" s="4" t="s">
        <v>279</v>
      </c>
      <c r="F44" s="4" t="s">
        <v>161</v>
      </c>
    </row>
    <row r="45" spans="1:6" ht="30" customHeight="1">
      <c r="A45" s="4" t="s">
        <v>161</v>
      </c>
      <c r="B45" s="4" t="s">
        <v>280</v>
      </c>
      <c r="C45" s="4" t="s">
        <v>281</v>
      </c>
      <c r="D45" s="4" t="s">
        <v>156</v>
      </c>
      <c r="E45" s="4" t="s">
        <v>279</v>
      </c>
      <c r="F45" s="4" t="s">
        <v>161</v>
      </c>
    </row>
    <row r="46" spans="1:6" ht="30" customHeight="1">
      <c r="A46" s="4" t="s">
        <v>161</v>
      </c>
      <c r="B46" s="4" t="s">
        <v>282</v>
      </c>
      <c r="C46" s="4" t="s">
        <v>283</v>
      </c>
      <c r="D46" s="4" t="s">
        <v>152</v>
      </c>
      <c r="E46" s="4" t="s">
        <v>284</v>
      </c>
      <c r="F46" s="4" t="s">
        <v>161</v>
      </c>
    </row>
    <row r="47" spans="1:6" ht="30" customHeight="1">
      <c r="A47" s="4" t="s">
        <v>161</v>
      </c>
      <c r="B47" s="4" t="s">
        <v>285</v>
      </c>
      <c r="C47" s="4" t="s">
        <v>286</v>
      </c>
      <c r="D47" s="4" t="s">
        <v>287</v>
      </c>
      <c r="E47" s="4" t="s">
        <v>288</v>
      </c>
      <c r="F47" s="4" t="s">
        <v>161</v>
      </c>
    </row>
    <row r="48" spans="1:6" ht="30" customHeight="1">
      <c r="A48" s="4" t="s">
        <v>161</v>
      </c>
      <c r="B48" s="4" t="s">
        <v>289</v>
      </c>
      <c r="C48" s="4" t="s">
        <v>290</v>
      </c>
      <c r="D48" s="4" t="s">
        <v>156</v>
      </c>
      <c r="E48" s="4" t="s">
        <v>291</v>
      </c>
      <c r="F48" s="4" t="s">
        <v>161</v>
      </c>
    </row>
    <row r="49" spans="1:6" ht="30" customHeight="1">
      <c r="A49" s="4" t="s">
        <v>161</v>
      </c>
      <c r="B49" s="4" t="s">
        <v>292</v>
      </c>
      <c r="C49" s="4" t="s">
        <v>293</v>
      </c>
      <c r="D49" s="4" t="s">
        <v>152</v>
      </c>
      <c r="E49" s="4" t="s">
        <v>294</v>
      </c>
      <c r="F49" s="4" t="s">
        <v>161</v>
      </c>
    </row>
    <row r="50" spans="1:6" ht="30" customHeight="1">
      <c r="A50" s="4" t="s">
        <v>295</v>
      </c>
      <c r="B50" s="4" t="s">
        <v>296</v>
      </c>
      <c r="C50" s="4" t="s">
        <v>297</v>
      </c>
      <c r="D50" s="4" t="s">
        <v>156</v>
      </c>
      <c r="E50" s="4" t="s">
        <v>298</v>
      </c>
      <c r="F50" s="4" t="s">
        <v>295</v>
      </c>
    </row>
    <row r="51" spans="1:6" ht="30" customHeight="1">
      <c r="A51" s="4" t="s">
        <v>295</v>
      </c>
      <c r="B51" s="4" t="s">
        <v>299</v>
      </c>
      <c r="C51" s="4" t="s">
        <v>300</v>
      </c>
      <c r="D51" s="4" t="s">
        <v>156</v>
      </c>
      <c r="E51" s="4" t="s">
        <v>301</v>
      </c>
      <c r="F51" s="4" t="s">
        <v>295</v>
      </c>
    </row>
    <row r="52" spans="1:6" ht="30" customHeight="1">
      <c r="A52" s="4" t="s">
        <v>295</v>
      </c>
      <c r="B52" s="4" t="s">
        <v>302</v>
      </c>
      <c r="C52" s="4" t="s">
        <v>303</v>
      </c>
      <c r="D52" s="4" t="s">
        <v>152</v>
      </c>
      <c r="E52" s="4" t="s">
        <v>304</v>
      </c>
      <c r="F52" s="4" t="s">
        <v>295</v>
      </c>
    </row>
    <row r="53" spans="1:6" ht="30" customHeight="1">
      <c r="A53" s="4" t="s">
        <v>295</v>
      </c>
      <c r="B53" s="4" t="s">
        <v>305</v>
      </c>
      <c r="C53" s="4" t="s">
        <v>306</v>
      </c>
      <c r="D53" s="4" t="s">
        <v>140</v>
      </c>
      <c r="E53" s="4" t="s">
        <v>307</v>
      </c>
      <c r="F53" s="4" t="s">
        <v>295</v>
      </c>
    </row>
    <row r="54" spans="1:6" ht="30" customHeight="1">
      <c r="A54" s="4" t="s">
        <v>295</v>
      </c>
      <c r="B54" s="4" t="s">
        <v>308</v>
      </c>
      <c r="C54" s="4" t="s">
        <v>309</v>
      </c>
      <c r="D54" s="4" t="s">
        <v>140</v>
      </c>
      <c r="E54" s="4" t="s">
        <v>310</v>
      </c>
      <c r="F54" s="4" t="s">
        <v>295</v>
      </c>
    </row>
    <row r="55" spans="1:6" ht="30" customHeight="1">
      <c r="A55" s="4" t="s">
        <v>295</v>
      </c>
      <c r="B55" s="4" t="s">
        <v>311</v>
      </c>
      <c r="C55" s="4" t="s">
        <v>312</v>
      </c>
      <c r="D55" s="4" t="s">
        <v>140</v>
      </c>
      <c r="E55" s="4" t="s">
        <v>313</v>
      </c>
      <c r="F55" s="4" t="s">
        <v>295</v>
      </c>
    </row>
    <row r="56" spans="1:6" ht="30" customHeight="1">
      <c r="A56" s="4" t="s">
        <v>295</v>
      </c>
      <c r="B56" s="4" t="s">
        <v>314</v>
      </c>
      <c r="C56" s="4" t="s">
        <v>315</v>
      </c>
      <c r="D56" s="4" t="s">
        <v>156</v>
      </c>
      <c r="E56" s="4" t="s">
        <v>316</v>
      </c>
      <c r="F56" s="4" t="s">
        <v>295</v>
      </c>
    </row>
    <row r="57" spans="1:6" ht="30" customHeight="1">
      <c r="A57" s="4" t="s">
        <v>295</v>
      </c>
      <c r="B57" s="4" t="s">
        <v>317</v>
      </c>
      <c r="C57" s="4" t="s">
        <v>318</v>
      </c>
      <c r="D57" s="4" t="s">
        <v>156</v>
      </c>
      <c r="E57" s="4" t="s">
        <v>316</v>
      </c>
      <c r="F57" s="4" t="s">
        <v>295</v>
      </c>
    </row>
    <row r="58" spans="1:6" ht="30" customHeight="1">
      <c r="A58" s="4" t="s">
        <v>295</v>
      </c>
      <c r="B58" s="4" t="s">
        <v>319</v>
      </c>
      <c r="C58" s="4" t="s">
        <v>320</v>
      </c>
      <c r="D58" s="4" t="s">
        <v>156</v>
      </c>
      <c r="E58" s="4" t="s">
        <v>321</v>
      </c>
      <c r="F58" s="4" t="s">
        <v>295</v>
      </c>
    </row>
    <row r="59" spans="1:6" ht="30" customHeight="1">
      <c r="A59" s="4" t="s">
        <v>295</v>
      </c>
      <c r="B59" s="4" t="s">
        <v>322</v>
      </c>
      <c r="C59" s="4" t="s">
        <v>323</v>
      </c>
      <c r="D59" s="4" t="s">
        <v>140</v>
      </c>
      <c r="E59" s="4" t="s">
        <v>324</v>
      </c>
      <c r="F59" s="4" t="s">
        <v>295</v>
      </c>
    </row>
    <row r="60" spans="1:6" ht="30" customHeight="1">
      <c r="A60" s="4" t="s">
        <v>325</v>
      </c>
      <c r="B60" s="4" t="s">
        <v>326</v>
      </c>
      <c r="C60" s="4" t="s">
        <v>327</v>
      </c>
      <c r="D60" s="4" t="s">
        <v>140</v>
      </c>
      <c r="E60" s="4" t="s">
        <v>328</v>
      </c>
      <c r="F60" s="4" t="s">
        <v>325</v>
      </c>
    </row>
    <row r="61" spans="1:6" ht="30" customHeight="1">
      <c r="A61" s="4" t="s">
        <v>325</v>
      </c>
      <c r="B61" s="4" t="s">
        <v>329</v>
      </c>
      <c r="C61" s="4" t="s">
        <v>330</v>
      </c>
      <c r="D61" s="4" t="s">
        <v>156</v>
      </c>
      <c r="E61" s="4" t="s">
        <v>331</v>
      </c>
      <c r="F61" s="4" t="s">
        <v>325</v>
      </c>
    </row>
    <row r="62" spans="1:6" ht="30" customHeight="1">
      <c r="A62" s="4" t="s">
        <v>325</v>
      </c>
      <c r="B62" s="4" t="s">
        <v>332</v>
      </c>
      <c r="C62" s="4" t="s">
        <v>333</v>
      </c>
      <c r="D62" s="4" t="s">
        <v>140</v>
      </c>
      <c r="E62" s="4" t="s">
        <v>334</v>
      </c>
      <c r="F62" s="4" t="s">
        <v>325</v>
      </c>
    </row>
    <row r="63" spans="1:6" ht="30" customHeight="1">
      <c r="A63" s="4" t="s">
        <v>325</v>
      </c>
      <c r="B63" s="4" t="s">
        <v>335</v>
      </c>
      <c r="C63" s="4" t="s">
        <v>336</v>
      </c>
      <c r="D63" s="4" t="s">
        <v>152</v>
      </c>
      <c r="E63" s="4" t="s">
        <v>337</v>
      </c>
      <c r="F63" s="4" t="s">
        <v>325</v>
      </c>
    </row>
    <row r="64" spans="1:6" ht="30" customHeight="1">
      <c r="A64" s="4" t="s">
        <v>325</v>
      </c>
      <c r="B64" s="4" t="s">
        <v>338</v>
      </c>
      <c r="C64" s="4" t="s">
        <v>339</v>
      </c>
      <c r="D64" s="4" t="s">
        <v>140</v>
      </c>
      <c r="E64" s="4" t="s">
        <v>340</v>
      </c>
      <c r="F64" s="4" t="s">
        <v>325</v>
      </c>
    </row>
    <row r="65" spans="1:6" ht="30" customHeight="1">
      <c r="A65" s="4" t="s">
        <v>325</v>
      </c>
      <c r="B65" s="4" t="s">
        <v>341</v>
      </c>
      <c r="C65" s="4" t="s">
        <v>342</v>
      </c>
      <c r="D65" s="4" t="s">
        <v>140</v>
      </c>
      <c r="E65" s="4" t="s">
        <v>343</v>
      </c>
      <c r="F65" s="4" t="s">
        <v>325</v>
      </c>
    </row>
    <row r="66" spans="1:6" ht="30" customHeight="1">
      <c r="A66" s="4" t="s">
        <v>325</v>
      </c>
      <c r="B66" s="4" t="s">
        <v>344</v>
      </c>
      <c r="C66" s="4" t="s">
        <v>345</v>
      </c>
      <c r="D66" s="4" t="s">
        <v>152</v>
      </c>
      <c r="E66" s="4" t="s">
        <v>346</v>
      </c>
      <c r="F66" s="4" t="s">
        <v>325</v>
      </c>
    </row>
    <row r="67" spans="1:6" ht="30" customHeight="1">
      <c r="A67" s="4" t="s">
        <v>325</v>
      </c>
      <c r="B67" s="4" t="s">
        <v>347</v>
      </c>
      <c r="C67" s="4" t="s">
        <v>348</v>
      </c>
      <c r="D67" s="4" t="s">
        <v>140</v>
      </c>
      <c r="E67" s="4" t="s">
        <v>349</v>
      </c>
      <c r="F67" s="4" t="s">
        <v>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5"/>
  <sheetViews>
    <sheetView showGridLines="0" workbookViewId="0">
      <pane ySplit="1" topLeftCell="A50" activePane="bottomLeft" state="frozen"/>
      <selection pane="bottomLeft" activeCell="G67" sqref="G67"/>
    </sheetView>
  </sheetViews>
  <sheetFormatPr defaultRowHeight="11.25"/>
  <cols>
    <col min="1" max="1" width="12.5" style="2" bestFit="1" customWidth="1"/>
    <col min="2" max="2" width="18.625" style="2" bestFit="1" customWidth="1"/>
    <col min="3" max="3" width="18" style="2" bestFit="1" customWidth="1"/>
    <col min="4" max="4" width="46.125" style="2" bestFit="1" customWidth="1"/>
    <col min="5" max="5" width="52" style="2" bestFit="1" customWidth="1"/>
    <col min="6" max="6" width="15.375" style="2" bestFit="1" customWidth="1"/>
    <col min="7" max="7" width="42.375" style="2" bestFit="1" customWidth="1"/>
    <col min="8" max="16384" width="9" style="2"/>
  </cols>
  <sheetData>
    <row r="1" spans="1:7" ht="32.1" customHeight="1">
      <c r="A1" s="5" t="s">
        <v>350</v>
      </c>
      <c r="B1" s="5" t="s">
        <v>351</v>
      </c>
      <c r="C1" s="5" t="s">
        <v>352</v>
      </c>
      <c r="D1" s="5" t="s">
        <v>353</v>
      </c>
      <c r="E1" s="5" t="s">
        <v>354</v>
      </c>
      <c r="F1" s="5" t="s">
        <v>355</v>
      </c>
      <c r="G1" s="5" t="s">
        <v>356</v>
      </c>
    </row>
    <row r="2" spans="1:7" ht="30" customHeight="1">
      <c r="A2" s="4" t="s">
        <v>357</v>
      </c>
      <c r="B2" s="4" t="s">
        <v>358</v>
      </c>
      <c r="C2" s="4" t="s">
        <v>359</v>
      </c>
      <c r="D2" s="4" t="s">
        <v>360</v>
      </c>
      <c r="E2" s="4" t="s">
        <v>361</v>
      </c>
      <c r="F2" s="4" t="s">
        <v>362</v>
      </c>
      <c r="G2" s="4" t="s">
        <v>363</v>
      </c>
    </row>
    <row r="3" spans="1:7" ht="30" customHeight="1">
      <c r="A3" s="4" t="s">
        <v>357</v>
      </c>
      <c r="B3" s="4" t="s">
        <v>364</v>
      </c>
      <c r="C3" s="4" t="s">
        <v>365</v>
      </c>
      <c r="D3" s="4" t="s">
        <v>366</v>
      </c>
      <c r="E3" s="4" t="s">
        <v>367</v>
      </c>
      <c r="F3" s="4" t="s">
        <v>368</v>
      </c>
      <c r="G3" s="4" t="s">
        <v>369</v>
      </c>
    </row>
    <row r="4" spans="1:7" ht="30" customHeight="1">
      <c r="A4" s="4" t="s">
        <v>357</v>
      </c>
      <c r="B4" s="4" t="s">
        <v>370</v>
      </c>
      <c r="C4" s="4" t="s">
        <v>371</v>
      </c>
      <c r="D4" s="4" t="s">
        <v>372</v>
      </c>
      <c r="E4" s="4" t="s">
        <v>373</v>
      </c>
      <c r="F4" s="4" t="s">
        <v>374</v>
      </c>
      <c r="G4" s="4" t="s">
        <v>375</v>
      </c>
    </row>
    <row r="5" spans="1:7" ht="30" customHeight="1">
      <c r="A5" s="4" t="s">
        <v>357</v>
      </c>
      <c r="B5" s="4" t="s">
        <v>376</v>
      </c>
      <c r="C5" s="4" t="s">
        <v>377</v>
      </c>
      <c r="D5" s="4" t="s">
        <v>378</v>
      </c>
      <c r="E5" s="4" t="s">
        <v>373</v>
      </c>
      <c r="F5" s="4" t="s">
        <v>379</v>
      </c>
      <c r="G5" s="4" t="s">
        <v>380</v>
      </c>
    </row>
    <row r="6" spans="1:7" ht="30" customHeight="1">
      <c r="A6" s="4" t="s">
        <v>357</v>
      </c>
      <c r="B6" s="4" t="s">
        <v>381</v>
      </c>
      <c r="C6" s="4" t="s">
        <v>382</v>
      </c>
      <c r="D6" s="4" t="s">
        <v>383</v>
      </c>
      <c r="E6" s="4" t="s">
        <v>373</v>
      </c>
      <c r="F6" s="4" t="s">
        <v>384</v>
      </c>
      <c r="G6" s="4" t="s">
        <v>385</v>
      </c>
    </row>
    <row r="7" spans="1:7" ht="30" customHeight="1">
      <c r="A7" s="4" t="s">
        <v>357</v>
      </c>
      <c r="B7" s="4" t="s">
        <v>386</v>
      </c>
      <c r="C7" s="4" t="s">
        <v>377</v>
      </c>
      <c r="D7" s="4" t="s">
        <v>387</v>
      </c>
      <c r="E7" s="4" t="s">
        <v>388</v>
      </c>
      <c r="F7" s="4" t="s">
        <v>379</v>
      </c>
      <c r="G7" s="4" t="s">
        <v>389</v>
      </c>
    </row>
    <row r="8" spans="1:7" ht="30" customHeight="1">
      <c r="A8" s="4" t="s">
        <v>357</v>
      </c>
      <c r="B8" s="4" t="s">
        <v>390</v>
      </c>
      <c r="C8" s="4" t="s">
        <v>391</v>
      </c>
      <c r="D8" s="4" t="s">
        <v>392</v>
      </c>
      <c r="E8" s="4" t="s">
        <v>361</v>
      </c>
      <c r="F8" s="4" t="s">
        <v>393</v>
      </c>
      <c r="G8" s="4" t="s">
        <v>394</v>
      </c>
    </row>
    <row r="9" spans="1:7" ht="30" customHeight="1">
      <c r="A9" s="4" t="s">
        <v>395</v>
      </c>
      <c r="B9" s="4" t="s">
        <v>396</v>
      </c>
      <c r="C9" s="4" t="s">
        <v>397</v>
      </c>
      <c r="D9" s="4" t="s">
        <v>398</v>
      </c>
      <c r="E9" s="4" t="s">
        <v>373</v>
      </c>
      <c r="F9" s="4" t="s">
        <v>399</v>
      </c>
      <c r="G9" s="4" t="s">
        <v>400</v>
      </c>
    </row>
    <row r="10" spans="1:7" ht="30" customHeight="1">
      <c r="A10" s="4" t="s">
        <v>395</v>
      </c>
      <c r="B10" s="4" t="s">
        <v>401</v>
      </c>
      <c r="C10" s="4" t="s">
        <v>402</v>
      </c>
      <c r="D10" s="4" t="s">
        <v>366</v>
      </c>
      <c r="E10" s="4" t="s">
        <v>403</v>
      </c>
      <c r="F10" s="4" t="s">
        <v>404</v>
      </c>
      <c r="G10" s="4" t="s">
        <v>405</v>
      </c>
    </row>
    <row r="11" spans="1:7" ht="30" customHeight="1">
      <c r="A11" s="4" t="s">
        <v>395</v>
      </c>
      <c r="B11" s="4" t="s">
        <v>406</v>
      </c>
      <c r="C11" s="4" t="s">
        <v>407</v>
      </c>
      <c r="D11" s="4" t="s">
        <v>408</v>
      </c>
      <c r="E11" s="4" t="s">
        <v>409</v>
      </c>
      <c r="F11" s="4" t="s">
        <v>410</v>
      </c>
      <c r="G11" s="4" t="s">
        <v>411</v>
      </c>
    </row>
    <row r="12" spans="1:7" ht="30" customHeight="1">
      <c r="A12" s="4" t="s">
        <v>395</v>
      </c>
      <c r="B12" s="4" t="s">
        <v>412</v>
      </c>
      <c r="C12" s="4" t="s">
        <v>377</v>
      </c>
      <c r="D12" s="4" t="s">
        <v>392</v>
      </c>
      <c r="E12" s="4" t="s">
        <v>373</v>
      </c>
      <c r="F12" s="4" t="s">
        <v>42</v>
      </c>
      <c r="G12" s="4" t="s">
        <v>413</v>
      </c>
    </row>
    <row r="13" spans="1:7" ht="30" customHeight="1">
      <c r="A13" s="4" t="s">
        <v>395</v>
      </c>
      <c r="B13" s="4" t="s">
        <v>414</v>
      </c>
      <c r="C13" s="4" t="s">
        <v>415</v>
      </c>
      <c r="D13" s="4" t="s">
        <v>416</v>
      </c>
      <c r="E13" s="4" t="s">
        <v>373</v>
      </c>
      <c r="F13" s="4" t="s">
        <v>410</v>
      </c>
      <c r="G13" s="4" t="s">
        <v>417</v>
      </c>
    </row>
    <row r="14" spans="1:7" ht="30" customHeight="1">
      <c r="A14" s="4" t="s">
        <v>395</v>
      </c>
      <c r="B14" s="4" t="s">
        <v>418</v>
      </c>
      <c r="C14" s="4" t="s">
        <v>419</v>
      </c>
      <c r="D14" s="4" t="s">
        <v>383</v>
      </c>
      <c r="E14" s="4" t="s">
        <v>373</v>
      </c>
      <c r="F14" s="4" t="s">
        <v>420</v>
      </c>
      <c r="G14" s="4" t="s">
        <v>421</v>
      </c>
    </row>
    <row r="15" spans="1:7" ht="30" customHeight="1">
      <c r="A15" s="4" t="s">
        <v>395</v>
      </c>
      <c r="B15" s="4" t="s">
        <v>422</v>
      </c>
      <c r="C15" s="4" t="s">
        <v>391</v>
      </c>
      <c r="D15" s="4" t="s">
        <v>387</v>
      </c>
      <c r="E15" s="4" t="s">
        <v>423</v>
      </c>
      <c r="F15" s="4" t="s">
        <v>424</v>
      </c>
      <c r="G15" s="4" t="s">
        <v>425</v>
      </c>
    </row>
    <row r="16" spans="1:7" ht="30" customHeight="1">
      <c r="A16" s="4" t="s">
        <v>426</v>
      </c>
      <c r="B16" s="4" t="s">
        <v>427</v>
      </c>
      <c r="C16" s="4" t="s">
        <v>428</v>
      </c>
      <c r="D16" s="4" t="s">
        <v>378</v>
      </c>
      <c r="E16" s="4" t="s">
        <v>429</v>
      </c>
      <c r="F16" s="4" t="s">
        <v>131</v>
      </c>
      <c r="G16" s="4" t="s">
        <v>430</v>
      </c>
    </row>
    <row r="17" spans="1:7" ht="30" customHeight="1">
      <c r="A17" s="4" t="s">
        <v>426</v>
      </c>
      <c r="B17" s="4" t="s">
        <v>431</v>
      </c>
      <c r="C17" s="4" t="s">
        <v>415</v>
      </c>
      <c r="D17" s="4" t="s">
        <v>432</v>
      </c>
      <c r="E17" s="4" t="s">
        <v>373</v>
      </c>
      <c r="F17" s="4" t="s">
        <v>420</v>
      </c>
      <c r="G17" s="4" t="s">
        <v>433</v>
      </c>
    </row>
    <row r="18" spans="1:7" ht="30" customHeight="1">
      <c r="A18" s="4" t="s">
        <v>426</v>
      </c>
      <c r="B18" s="4" t="s">
        <v>434</v>
      </c>
      <c r="C18" s="4" t="s">
        <v>415</v>
      </c>
      <c r="D18" s="4" t="s">
        <v>383</v>
      </c>
      <c r="E18" s="4" t="s">
        <v>373</v>
      </c>
      <c r="F18" s="4" t="s">
        <v>435</v>
      </c>
      <c r="G18" s="4" t="s">
        <v>436</v>
      </c>
    </row>
    <row r="19" spans="1:7" ht="30" customHeight="1">
      <c r="A19" s="4" t="s">
        <v>426</v>
      </c>
      <c r="B19" s="4" t="s">
        <v>437</v>
      </c>
      <c r="C19" s="4" t="s">
        <v>438</v>
      </c>
      <c r="D19" s="4" t="s">
        <v>383</v>
      </c>
      <c r="E19" s="4" t="s">
        <v>439</v>
      </c>
      <c r="F19" s="4" t="s">
        <v>131</v>
      </c>
      <c r="G19" s="4" t="s">
        <v>440</v>
      </c>
    </row>
    <row r="20" spans="1:7" ht="30" customHeight="1">
      <c r="A20" s="4" t="s">
        <v>426</v>
      </c>
      <c r="B20" s="4" t="s">
        <v>441</v>
      </c>
      <c r="C20" s="4" t="s">
        <v>442</v>
      </c>
      <c r="D20" s="4" t="s">
        <v>366</v>
      </c>
      <c r="E20" s="4" t="s">
        <v>373</v>
      </c>
      <c r="F20" s="4" t="s">
        <v>131</v>
      </c>
      <c r="G20" s="4" t="s">
        <v>443</v>
      </c>
    </row>
    <row r="21" spans="1:7" ht="30" customHeight="1">
      <c r="A21" s="4" t="s">
        <v>426</v>
      </c>
      <c r="B21" s="4" t="s">
        <v>444</v>
      </c>
      <c r="C21" s="4" t="s">
        <v>391</v>
      </c>
      <c r="D21" s="4" t="s">
        <v>383</v>
      </c>
      <c r="E21" s="4" t="s">
        <v>445</v>
      </c>
      <c r="F21" s="4" t="s">
        <v>446</v>
      </c>
      <c r="G21" s="4" t="s">
        <v>447</v>
      </c>
    </row>
    <row r="22" spans="1:7" ht="30" customHeight="1">
      <c r="A22" s="4" t="s">
        <v>448</v>
      </c>
      <c r="B22" s="4" t="s">
        <v>449</v>
      </c>
      <c r="C22" s="4" t="s">
        <v>450</v>
      </c>
      <c r="D22" s="4" t="s">
        <v>366</v>
      </c>
      <c r="E22" s="4" t="s">
        <v>451</v>
      </c>
      <c r="F22" s="4" t="s">
        <v>37</v>
      </c>
      <c r="G22" s="4" t="s">
        <v>452</v>
      </c>
    </row>
    <row r="23" spans="1:7" ht="30" customHeight="1">
      <c r="A23" s="4" t="s">
        <v>448</v>
      </c>
      <c r="B23" s="4" t="s">
        <v>453</v>
      </c>
      <c r="C23" s="4" t="s">
        <v>377</v>
      </c>
      <c r="D23" s="4" t="s">
        <v>387</v>
      </c>
      <c r="E23" s="4" t="s">
        <v>454</v>
      </c>
      <c r="F23" s="4" t="s">
        <v>424</v>
      </c>
      <c r="G23" s="4" t="s">
        <v>455</v>
      </c>
    </row>
    <row r="24" spans="1:7" ht="30" customHeight="1">
      <c r="A24" s="4" t="s">
        <v>448</v>
      </c>
      <c r="B24" s="4" t="s">
        <v>456</v>
      </c>
      <c r="C24" s="4" t="s">
        <v>457</v>
      </c>
      <c r="D24" s="4" t="s">
        <v>392</v>
      </c>
      <c r="E24" s="4" t="s">
        <v>454</v>
      </c>
      <c r="F24" s="4" t="s">
        <v>42</v>
      </c>
      <c r="G24" s="4" t="s">
        <v>458</v>
      </c>
    </row>
    <row r="25" spans="1:7" ht="30" customHeight="1">
      <c r="A25" s="4" t="s">
        <v>448</v>
      </c>
      <c r="B25" s="4" t="s">
        <v>459</v>
      </c>
      <c r="C25" s="4" t="s">
        <v>415</v>
      </c>
      <c r="D25" s="4" t="s">
        <v>460</v>
      </c>
      <c r="E25" s="4" t="s">
        <v>373</v>
      </c>
      <c r="F25" s="4" t="s">
        <v>435</v>
      </c>
      <c r="G25" s="4" t="s">
        <v>461</v>
      </c>
    </row>
    <row r="26" spans="1:7" ht="30" customHeight="1">
      <c r="A26" s="4" t="s">
        <v>448</v>
      </c>
      <c r="B26" s="4" t="s">
        <v>462</v>
      </c>
      <c r="C26" s="4" t="s">
        <v>463</v>
      </c>
      <c r="D26" s="4" t="s">
        <v>366</v>
      </c>
      <c r="E26" s="4" t="s">
        <v>464</v>
      </c>
      <c r="F26" s="4" t="s">
        <v>37</v>
      </c>
      <c r="G26" s="4" t="s">
        <v>465</v>
      </c>
    </row>
    <row r="27" spans="1:7" ht="30" customHeight="1">
      <c r="A27" s="4" t="s">
        <v>448</v>
      </c>
      <c r="B27" s="4" t="s">
        <v>466</v>
      </c>
      <c r="C27" s="4" t="s">
        <v>27</v>
      </c>
      <c r="D27" s="4" t="s">
        <v>467</v>
      </c>
      <c r="E27" s="4" t="s">
        <v>454</v>
      </c>
      <c r="F27" s="4" t="s">
        <v>468</v>
      </c>
      <c r="G27" s="4" t="s">
        <v>469</v>
      </c>
    </row>
    <row r="28" spans="1:7" ht="30" customHeight="1">
      <c r="A28" s="4" t="s">
        <v>448</v>
      </c>
      <c r="B28" s="4" t="s">
        <v>470</v>
      </c>
      <c r="C28" s="4" t="s">
        <v>391</v>
      </c>
      <c r="D28" s="4" t="s">
        <v>471</v>
      </c>
      <c r="E28" s="4" t="s">
        <v>472</v>
      </c>
      <c r="F28" s="4" t="s">
        <v>473</v>
      </c>
      <c r="G28" s="4" t="s">
        <v>474</v>
      </c>
    </row>
    <row r="29" spans="1:7" ht="30" customHeight="1">
      <c r="A29" s="4" t="s">
        <v>475</v>
      </c>
      <c r="B29" s="4" t="s">
        <v>476</v>
      </c>
      <c r="C29" s="4" t="s">
        <v>477</v>
      </c>
      <c r="D29" s="4" t="s">
        <v>478</v>
      </c>
      <c r="E29" s="4" t="s">
        <v>373</v>
      </c>
      <c r="F29" s="4" t="s">
        <v>479</v>
      </c>
      <c r="G29" s="4" t="s">
        <v>480</v>
      </c>
    </row>
    <row r="30" spans="1:7" ht="30" customHeight="1">
      <c r="A30" s="4" t="s">
        <v>475</v>
      </c>
      <c r="B30" s="4" t="s">
        <v>481</v>
      </c>
      <c r="C30" s="4" t="s">
        <v>402</v>
      </c>
      <c r="D30" s="4" t="s">
        <v>392</v>
      </c>
      <c r="E30" s="4" t="s">
        <v>403</v>
      </c>
      <c r="F30" s="4" t="s">
        <v>42</v>
      </c>
      <c r="G30" s="4" t="s">
        <v>482</v>
      </c>
    </row>
    <row r="31" spans="1:7" ht="30" customHeight="1">
      <c r="A31" s="4" t="s">
        <v>475</v>
      </c>
      <c r="B31" s="4" t="s">
        <v>483</v>
      </c>
      <c r="C31" s="4" t="s">
        <v>415</v>
      </c>
      <c r="D31" s="4" t="s">
        <v>478</v>
      </c>
      <c r="E31" s="4" t="s">
        <v>373</v>
      </c>
      <c r="F31" s="4" t="s">
        <v>384</v>
      </c>
      <c r="G31" s="4" t="s">
        <v>484</v>
      </c>
    </row>
    <row r="32" spans="1:7" ht="30" customHeight="1">
      <c r="A32" s="4" t="s">
        <v>475</v>
      </c>
      <c r="B32" s="4" t="s">
        <v>485</v>
      </c>
      <c r="C32" s="4" t="s">
        <v>377</v>
      </c>
      <c r="D32" s="4" t="s">
        <v>392</v>
      </c>
      <c r="E32" s="4" t="s">
        <v>388</v>
      </c>
      <c r="F32" s="4" t="s">
        <v>42</v>
      </c>
      <c r="G32" s="4" t="s">
        <v>237</v>
      </c>
    </row>
    <row r="33" spans="1:7" ht="30" customHeight="1">
      <c r="A33" s="4" t="s">
        <v>475</v>
      </c>
      <c r="B33" s="4" t="s">
        <v>486</v>
      </c>
      <c r="C33" s="4" t="s">
        <v>428</v>
      </c>
      <c r="D33" s="4" t="s">
        <v>392</v>
      </c>
      <c r="E33" s="4" t="s">
        <v>487</v>
      </c>
      <c r="F33" s="4" t="s">
        <v>42</v>
      </c>
      <c r="G33" s="4" t="s">
        <v>488</v>
      </c>
    </row>
    <row r="34" spans="1:7" ht="30" customHeight="1">
      <c r="A34" s="4" t="s">
        <v>475</v>
      </c>
      <c r="B34" s="4" t="s">
        <v>489</v>
      </c>
      <c r="C34" s="4" t="s">
        <v>415</v>
      </c>
      <c r="D34" s="4" t="s">
        <v>490</v>
      </c>
      <c r="E34" s="4" t="s">
        <v>373</v>
      </c>
      <c r="F34" s="4" t="s">
        <v>435</v>
      </c>
      <c r="G34" s="4" t="s">
        <v>491</v>
      </c>
    </row>
    <row r="35" spans="1:7" ht="30" customHeight="1">
      <c r="A35" s="4" t="s">
        <v>475</v>
      </c>
      <c r="B35" s="4" t="s">
        <v>492</v>
      </c>
      <c r="C35" s="4" t="s">
        <v>391</v>
      </c>
      <c r="D35" s="4" t="s">
        <v>493</v>
      </c>
      <c r="E35" s="4" t="s">
        <v>494</v>
      </c>
      <c r="F35" s="4" t="s">
        <v>393</v>
      </c>
      <c r="G35" s="4" t="s">
        <v>495</v>
      </c>
    </row>
    <row r="36" spans="1:7" ht="30" customHeight="1">
      <c r="A36" s="4" t="s">
        <v>496</v>
      </c>
      <c r="B36" s="4" t="s">
        <v>497</v>
      </c>
      <c r="C36" s="4" t="s">
        <v>377</v>
      </c>
      <c r="D36" s="4" t="s">
        <v>498</v>
      </c>
      <c r="E36" s="4" t="s">
        <v>388</v>
      </c>
      <c r="F36" s="4" t="s">
        <v>91</v>
      </c>
      <c r="G36" s="4" t="s">
        <v>499</v>
      </c>
    </row>
    <row r="37" spans="1:7" ht="30" customHeight="1">
      <c r="A37" s="4" t="s">
        <v>496</v>
      </c>
      <c r="B37" s="4" t="s">
        <v>500</v>
      </c>
      <c r="C37" s="4" t="s">
        <v>407</v>
      </c>
      <c r="D37" s="4" t="s">
        <v>501</v>
      </c>
      <c r="E37" s="4" t="s">
        <v>502</v>
      </c>
      <c r="F37" s="4" t="s">
        <v>91</v>
      </c>
      <c r="G37" s="4" t="s">
        <v>503</v>
      </c>
    </row>
    <row r="38" spans="1:7" ht="30" customHeight="1">
      <c r="A38" s="4" t="s">
        <v>496</v>
      </c>
      <c r="B38" s="4" t="s">
        <v>504</v>
      </c>
      <c r="C38" s="4" t="s">
        <v>505</v>
      </c>
      <c r="D38" s="4" t="s">
        <v>366</v>
      </c>
      <c r="E38" s="4" t="s">
        <v>388</v>
      </c>
      <c r="F38" s="4" t="s">
        <v>404</v>
      </c>
      <c r="G38" s="4" t="s">
        <v>506</v>
      </c>
    </row>
    <row r="39" spans="1:7" ht="30" customHeight="1">
      <c r="A39" s="4" t="s">
        <v>496</v>
      </c>
      <c r="B39" s="4" t="s">
        <v>507</v>
      </c>
      <c r="C39" s="4" t="s">
        <v>415</v>
      </c>
      <c r="D39" s="4" t="s">
        <v>416</v>
      </c>
      <c r="E39" s="4" t="s">
        <v>388</v>
      </c>
      <c r="F39" s="4" t="s">
        <v>410</v>
      </c>
      <c r="G39" s="4" t="s">
        <v>379</v>
      </c>
    </row>
    <row r="40" spans="1:7" ht="30" customHeight="1">
      <c r="A40" s="4" t="s">
        <v>496</v>
      </c>
      <c r="B40" s="4" t="s">
        <v>508</v>
      </c>
      <c r="C40" s="4" t="s">
        <v>377</v>
      </c>
      <c r="D40" s="4" t="s">
        <v>509</v>
      </c>
      <c r="E40" s="4" t="s">
        <v>388</v>
      </c>
      <c r="F40" s="4" t="s">
        <v>510</v>
      </c>
      <c r="G40" s="4" t="s">
        <v>511</v>
      </c>
    </row>
    <row r="41" spans="1:7" ht="30" customHeight="1">
      <c r="A41" s="4" t="s">
        <v>496</v>
      </c>
      <c r="B41" s="4" t="s">
        <v>512</v>
      </c>
      <c r="C41" s="4" t="s">
        <v>457</v>
      </c>
      <c r="D41" s="4" t="s">
        <v>392</v>
      </c>
      <c r="E41" s="4" t="s">
        <v>513</v>
      </c>
      <c r="F41" s="4" t="s">
        <v>42</v>
      </c>
      <c r="G41" s="4" t="s">
        <v>514</v>
      </c>
    </row>
    <row r="42" spans="1:7" ht="30" customHeight="1">
      <c r="A42" s="4" t="s">
        <v>496</v>
      </c>
      <c r="B42" s="4" t="s">
        <v>515</v>
      </c>
      <c r="C42" s="4" t="s">
        <v>26</v>
      </c>
      <c r="D42" s="4" t="s">
        <v>516</v>
      </c>
      <c r="E42" s="4" t="s">
        <v>517</v>
      </c>
      <c r="F42" s="4" t="s">
        <v>37</v>
      </c>
      <c r="G42" s="4" t="s">
        <v>518</v>
      </c>
    </row>
    <row r="43" spans="1:7" ht="30" customHeight="1">
      <c r="A43" s="4" t="s">
        <v>146</v>
      </c>
      <c r="B43" s="4" t="s">
        <v>519</v>
      </c>
      <c r="C43" s="4" t="s">
        <v>402</v>
      </c>
      <c r="D43" s="4" t="s">
        <v>378</v>
      </c>
      <c r="E43" s="4" t="s">
        <v>520</v>
      </c>
      <c r="F43" s="4" t="s">
        <v>131</v>
      </c>
      <c r="G43" s="4" t="s">
        <v>521</v>
      </c>
    </row>
    <row r="44" spans="1:7" ht="30" customHeight="1">
      <c r="A44" s="4" t="s">
        <v>146</v>
      </c>
      <c r="B44" s="4" t="s">
        <v>522</v>
      </c>
      <c r="C44" s="4" t="s">
        <v>402</v>
      </c>
      <c r="D44" s="4" t="s">
        <v>366</v>
      </c>
      <c r="E44" s="4" t="s">
        <v>523</v>
      </c>
      <c r="F44" s="4" t="s">
        <v>404</v>
      </c>
      <c r="G44" s="4" t="s">
        <v>405</v>
      </c>
    </row>
    <row r="45" spans="1:7" ht="30" customHeight="1">
      <c r="A45" s="4" t="s">
        <v>146</v>
      </c>
      <c r="B45" s="4" t="s">
        <v>524</v>
      </c>
      <c r="C45" s="4" t="s">
        <v>415</v>
      </c>
      <c r="D45" s="4" t="s">
        <v>392</v>
      </c>
      <c r="E45" s="4" t="s">
        <v>520</v>
      </c>
      <c r="F45" s="4" t="s">
        <v>42</v>
      </c>
      <c r="G45" s="4" t="s">
        <v>525</v>
      </c>
    </row>
    <row r="46" spans="1:7" ht="30" customHeight="1">
      <c r="A46" s="4" t="s">
        <v>146</v>
      </c>
      <c r="B46" s="4" t="s">
        <v>526</v>
      </c>
      <c r="C46" s="4" t="s">
        <v>397</v>
      </c>
      <c r="D46" s="4" t="s">
        <v>527</v>
      </c>
      <c r="E46" s="4" t="s">
        <v>528</v>
      </c>
      <c r="F46" s="4" t="s">
        <v>529</v>
      </c>
      <c r="G46" s="4" t="s">
        <v>530</v>
      </c>
    </row>
    <row r="47" spans="1:7" ht="30" customHeight="1">
      <c r="A47" s="4" t="s">
        <v>146</v>
      </c>
      <c r="B47" s="4" t="s">
        <v>531</v>
      </c>
      <c r="C47" s="4" t="s">
        <v>419</v>
      </c>
      <c r="D47" s="4" t="s">
        <v>383</v>
      </c>
      <c r="E47" s="4" t="s">
        <v>532</v>
      </c>
      <c r="F47" s="4" t="s">
        <v>446</v>
      </c>
      <c r="G47" s="4" t="s">
        <v>533</v>
      </c>
    </row>
    <row r="48" spans="1:7" ht="30" customHeight="1">
      <c r="A48" s="4" t="s">
        <v>146</v>
      </c>
      <c r="B48" s="4" t="s">
        <v>245</v>
      </c>
      <c r="C48" s="4" t="s">
        <v>415</v>
      </c>
      <c r="D48" s="4" t="s">
        <v>383</v>
      </c>
      <c r="E48" s="4" t="s">
        <v>532</v>
      </c>
      <c r="F48" s="4" t="s">
        <v>435</v>
      </c>
      <c r="G48" s="4" t="s">
        <v>534</v>
      </c>
    </row>
    <row r="49" spans="1:7" ht="30" customHeight="1">
      <c r="A49" s="4" t="s">
        <v>146</v>
      </c>
      <c r="B49" s="4" t="s">
        <v>535</v>
      </c>
      <c r="C49" s="4" t="s">
        <v>391</v>
      </c>
      <c r="D49" s="4" t="s">
        <v>387</v>
      </c>
      <c r="E49" s="4" t="s">
        <v>536</v>
      </c>
      <c r="F49" s="4" t="s">
        <v>424</v>
      </c>
      <c r="G49" s="4" t="s">
        <v>521</v>
      </c>
    </row>
    <row r="50" spans="1:7" ht="30" customHeight="1">
      <c r="A50" s="4" t="s">
        <v>537</v>
      </c>
      <c r="B50" s="4" t="s">
        <v>538</v>
      </c>
      <c r="C50" s="4" t="s">
        <v>402</v>
      </c>
      <c r="D50" s="4" t="s">
        <v>378</v>
      </c>
      <c r="E50" s="4" t="s">
        <v>539</v>
      </c>
      <c r="F50" s="4" t="s">
        <v>131</v>
      </c>
      <c r="G50" s="4" t="s">
        <v>540</v>
      </c>
    </row>
    <row r="51" spans="1:7" ht="30" customHeight="1">
      <c r="A51" s="4" t="s">
        <v>537</v>
      </c>
      <c r="B51" s="4" t="s">
        <v>541</v>
      </c>
      <c r="C51" s="4" t="s">
        <v>377</v>
      </c>
      <c r="D51" s="4" t="s">
        <v>542</v>
      </c>
      <c r="E51" s="4" t="s">
        <v>543</v>
      </c>
      <c r="F51" s="4" t="s">
        <v>544</v>
      </c>
      <c r="G51" s="4" t="s">
        <v>545</v>
      </c>
    </row>
    <row r="52" spans="1:7" ht="30" customHeight="1">
      <c r="A52" s="4" t="s">
        <v>537</v>
      </c>
      <c r="B52" s="4" t="s">
        <v>546</v>
      </c>
      <c r="C52" s="4" t="s">
        <v>402</v>
      </c>
      <c r="D52" s="4" t="s">
        <v>366</v>
      </c>
      <c r="E52" s="4" t="s">
        <v>547</v>
      </c>
      <c r="F52" s="4" t="s">
        <v>37</v>
      </c>
      <c r="G52" s="4" t="s">
        <v>548</v>
      </c>
    </row>
    <row r="53" spans="1:7" ht="30" customHeight="1">
      <c r="A53" s="4" t="s">
        <v>537</v>
      </c>
      <c r="B53" s="4" t="s">
        <v>549</v>
      </c>
      <c r="C53" s="4" t="s">
        <v>415</v>
      </c>
      <c r="D53" s="4" t="s">
        <v>383</v>
      </c>
      <c r="E53" s="4" t="s">
        <v>550</v>
      </c>
      <c r="F53" s="4" t="s">
        <v>435</v>
      </c>
      <c r="G53" s="4" t="s">
        <v>551</v>
      </c>
    </row>
    <row r="54" spans="1:7" ht="30" customHeight="1">
      <c r="A54" s="4" t="s">
        <v>537</v>
      </c>
      <c r="B54" s="4" t="s">
        <v>552</v>
      </c>
      <c r="C54" s="4" t="s">
        <v>457</v>
      </c>
      <c r="D54" s="4" t="s">
        <v>392</v>
      </c>
      <c r="E54" s="4" t="s">
        <v>553</v>
      </c>
      <c r="F54" s="4" t="s">
        <v>42</v>
      </c>
      <c r="G54" s="4" t="s">
        <v>554</v>
      </c>
    </row>
    <row r="55" spans="1:7" ht="30" customHeight="1">
      <c r="A55" s="4" t="s">
        <v>537</v>
      </c>
      <c r="B55" s="4" t="s">
        <v>555</v>
      </c>
      <c r="C55" s="4" t="s">
        <v>415</v>
      </c>
      <c r="D55" s="4" t="s">
        <v>416</v>
      </c>
      <c r="E55" s="4" t="s">
        <v>553</v>
      </c>
      <c r="F55" s="4" t="s">
        <v>410</v>
      </c>
      <c r="G55" s="4" t="s">
        <v>556</v>
      </c>
    </row>
    <row r="56" spans="1:7" ht="30" customHeight="1">
      <c r="A56" s="4" t="s">
        <v>537</v>
      </c>
      <c r="B56" s="4" t="s">
        <v>557</v>
      </c>
      <c r="C56" s="4" t="s">
        <v>26</v>
      </c>
      <c r="D56" s="4" t="s">
        <v>558</v>
      </c>
      <c r="E56" s="4" t="s">
        <v>559</v>
      </c>
      <c r="F56" s="4" t="s">
        <v>37</v>
      </c>
      <c r="G56" s="4" t="s">
        <v>560</v>
      </c>
    </row>
    <row r="57" spans="1:7" ht="30" customHeight="1">
      <c r="A57" s="4" t="s">
        <v>537</v>
      </c>
      <c r="B57" s="4" t="s">
        <v>561</v>
      </c>
      <c r="C57" s="4" t="s">
        <v>377</v>
      </c>
      <c r="D57" s="4" t="s">
        <v>562</v>
      </c>
      <c r="E57" s="4" t="s">
        <v>543</v>
      </c>
      <c r="F57" s="4" t="s">
        <v>72</v>
      </c>
      <c r="G57" s="4" t="s">
        <v>563</v>
      </c>
    </row>
    <row r="58" spans="1:7" ht="30" customHeight="1">
      <c r="A58" s="4" t="s">
        <v>325</v>
      </c>
      <c r="B58" s="4" t="s">
        <v>564</v>
      </c>
      <c r="C58" s="4" t="s">
        <v>359</v>
      </c>
      <c r="D58" s="4" t="s">
        <v>565</v>
      </c>
      <c r="E58" s="4" t="s">
        <v>566</v>
      </c>
      <c r="F58" s="4" t="s">
        <v>567</v>
      </c>
      <c r="G58" s="4" t="s">
        <v>568</v>
      </c>
    </row>
    <row r="59" spans="1:7" ht="30" customHeight="1">
      <c r="A59" s="4" t="s">
        <v>325</v>
      </c>
      <c r="B59" s="4" t="s">
        <v>569</v>
      </c>
      <c r="C59" s="4" t="s">
        <v>570</v>
      </c>
      <c r="D59" s="4" t="s">
        <v>111</v>
      </c>
      <c r="E59" s="4" t="s">
        <v>571</v>
      </c>
      <c r="F59" s="4" t="s">
        <v>86</v>
      </c>
      <c r="G59" s="4" t="s">
        <v>572</v>
      </c>
    </row>
    <row r="60" spans="1:7" ht="30" customHeight="1">
      <c r="A60" s="4" t="s">
        <v>325</v>
      </c>
      <c r="B60" s="4" t="s">
        <v>573</v>
      </c>
      <c r="C60" s="4" t="s">
        <v>27</v>
      </c>
      <c r="D60" s="4" t="s">
        <v>111</v>
      </c>
      <c r="E60" s="4" t="s">
        <v>574</v>
      </c>
      <c r="F60" s="4" t="s">
        <v>86</v>
      </c>
      <c r="G60" s="4" t="s">
        <v>575</v>
      </c>
    </row>
    <row r="61" spans="1:7" ht="30" customHeight="1">
      <c r="A61" s="4" t="s">
        <v>325</v>
      </c>
      <c r="B61" s="4" t="s">
        <v>576</v>
      </c>
      <c r="C61" s="4" t="s">
        <v>402</v>
      </c>
      <c r="D61" s="4" t="s">
        <v>111</v>
      </c>
      <c r="E61" s="4" t="s">
        <v>577</v>
      </c>
      <c r="F61" s="4" t="s">
        <v>86</v>
      </c>
      <c r="G61" s="4" t="s">
        <v>578</v>
      </c>
    </row>
    <row r="62" spans="1:7" ht="30" customHeight="1">
      <c r="A62" s="4" t="s">
        <v>325</v>
      </c>
      <c r="B62" s="4" t="s">
        <v>579</v>
      </c>
      <c r="C62" s="4" t="s">
        <v>415</v>
      </c>
      <c r="D62" s="4" t="s">
        <v>580</v>
      </c>
      <c r="E62" s="4" t="s">
        <v>581</v>
      </c>
      <c r="F62" s="4" t="s">
        <v>131</v>
      </c>
      <c r="G62" s="4" t="s">
        <v>582</v>
      </c>
    </row>
    <row r="63" spans="1:7" ht="30" customHeight="1">
      <c r="A63" s="4" t="s">
        <v>325</v>
      </c>
      <c r="B63" s="4" t="s">
        <v>583</v>
      </c>
      <c r="C63" s="4" t="s">
        <v>415</v>
      </c>
      <c r="D63" s="4" t="s">
        <v>584</v>
      </c>
      <c r="E63" s="4" t="s">
        <v>585</v>
      </c>
      <c r="F63" s="4" t="s">
        <v>42</v>
      </c>
      <c r="G63" s="4" t="s">
        <v>586</v>
      </c>
    </row>
    <row r="64" spans="1:7" ht="30" customHeight="1">
      <c r="A64" s="4" t="s">
        <v>325</v>
      </c>
      <c r="B64" s="4" t="s">
        <v>587</v>
      </c>
      <c r="C64" s="4" t="s">
        <v>391</v>
      </c>
      <c r="D64" s="4" t="s">
        <v>111</v>
      </c>
      <c r="E64" s="4" t="s">
        <v>566</v>
      </c>
      <c r="F64" s="4" t="s">
        <v>86</v>
      </c>
      <c r="G64" s="4" t="s">
        <v>588</v>
      </c>
    </row>
    <row r="65" spans="1:7" ht="30" customHeight="1">
      <c r="A65" s="4" t="s">
        <v>325</v>
      </c>
      <c r="B65" s="4" t="s">
        <v>589</v>
      </c>
      <c r="C65" s="4" t="s">
        <v>415</v>
      </c>
      <c r="D65" s="4" t="s">
        <v>590</v>
      </c>
      <c r="E65" s="4" t="s">
        <v>591</v>
      </c>
      <c r="F65" s="4" t="s">
        <v>86</v>
      </c>
      <c r="G65" s="4" t="s">
        <v>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showGridLines="0" workbookViewId="0">
      <pane ySplit="1" topLeftCell="A2" activePane="bottomLeft" state="frozen"/>
      <selection pane="bottomLeft" activeCell="C1" sqref="C1"/>
    </sheetView>
  </sheetViews>
  <sheetFormatPr defaultRowHeight="11.25"/>
  <cols>
    <col min="1" max="1" width="22" style="2" customWidth="1"/>
    <col min="2" max="2" width="27" style="2" customWidth="1"/>
    <col min="3" max="3" width="52" style="2" customWidth="1"/>
    <col min="4" max="4" width="22" style="2" customWidth="1"/>
    <col min="5" max="5" width="29" style="2" customWidth="1"/>
    <col min="6" max="6" width="76" style="2" customWidth="1"/>
    <col min="7" max="16384" width="9" style="2"/>
  </cols>
  <sheetData>
    <row r="1" spans="1:6" ht="32.1" customHeight="1">
      <c r="A1" s="5" t="s">
        <v>136</v>
      </c>
      <c r="B1" s="5" t="s">
        <v>593</v>
      </c>
      <c r="C1" s="5" t="s">
        <v>594</v>
      </c>
      <c r="D1" s="5" t="s">
        <v>595</v>
      </c>
      <c r="E1" s="5" t="s">
        <v>596</v>
      </c>
      <c r="F1" s="5" t="s">
        <v>597</v>
      </c>
    </row>
    <row r="2" spans="1:6" ht="30" customHeight="1">
      <c r="A2" s="4" t="s">
        <v>598</v>
      </c>
      <c r="B2" s="4" t="s">
        <v>599</v>
      </c>
      <c r="C2" s="4" t="s">
        <v>105</v>
      </c>
      <c r="D2" s="4" t="s">
        <v>600</v>
      </c>
      <c r="E2" s="4" t="s">
        <v>601</v>
      </c>
      <c r="F2" s="4" t="s">
        <v>602</v>
      </c>
    </row>
    <row r="3" spans="1:6" ht="30" customHeight="1">
      <c r="A3" s="4" t="s">
        <v>182</v>
      </c>
      <c r="B3" s="4" t="s">
        <v>42</v>
      </c>
      <c r="C3" s="4" t="s">
        <v>392</v>
      </c>
      <c r="D3" s="4" t="s">
        <v>603</v>
      </c>
      <c r="E3" s="4" t="s">
        <v>379</v>
      </c>
      <c r="F3" s="4" t="s">
        <v>604</v>
      </c>
    </row>
    <row r="4" spans="1:6" ht="30" customHeight="1">
      <c r="A4" s="4" t="s">
        <v>182</v>
      </c>
      <c r="B4" s="4" t="s">
        <v>40</v>
      </c>
      <c r="C4" s="4" t="s">
        <v>478</v>
      </c>
      <c r="D4" s="4" t="s">
        <v>603</v>
      </c>
      <c r="E4" s="4" t="s">
        <v>605</v>
      </c>
      <c r="F4" s="4" t="s">
        <v>606</v>
      </c>
    </row>
    <row r="5" spans="1:6" ht="30" customHeight="1">
      <c r="A5" s="4" t="s">
        <v>172</v>
      </c>
      <c r="B5" s="4" t="s">
        <v>131</v>
      </c>
      <c r="C5" s="4" t="s">
        <v>378</v>
      </c>
      <c r="D5" s="4" t="s">
        <v>603</v>
      </c>
      <c r="E5" s="4" t="s">
        <v>607</v>
      </c>
      <c r="F5" s="4" t="s">
        <v>608</v>
      </c>
    </row>
    <row r="6" spans="1:6" ht="30" customHeight="1">
      <c r="A6" s="4" t="s">
        <v>172</v>
      </c>
      <c r="B6" s="4" t="s">
        <v>609</v>
      </c>
      <c r="C6" s="4" t="s">
        <v>432</v>
      </c>
      <c r="D6" s="4" t="s">
        <v>603</v>
      </c>
      <c r="E6" s="4" t="s">
        <v>607</v>
      </c>
      <c r="F6" s="4" t="s">
        <v>610</v>
      </c>
    </row>
    <row r="7" spans="1:6" ht="30" customHeight="1">
      <c r="A7" s="4" t="s">
        <v>172</v>
      </c>
      <c r="B7" s="4" t="s">
        <v>22</v>
      </c>
      <c r="C7" s="4" t="s">
        <v>611</v>
      </c>
      <c r="D7" s="4" t="s">
        <v>603</v>
      </c>
      <c r="E7" s="4" t="s">
        <v>607</v>
      </c>
      <c r="F7" s="4" t="s">
        <v>612</v>
      </c>
    </row>
    <row r="8" spans="1:6" ht="30" customHeight="1">
      <c r="A8" s="4" t="s">
        <v>168</v>
      </c>
      <c r="B8" s="4" t="s">
        <v>424</v>
      </c>
      <c r="C8" s="4" t="s">
        <v>387</v>
      </c>
      <c r="D8" s="4" t="s">
        <v>603</v>
      </c>
      <c r="E8" s="4" t="s">
        <v>607</v>
      </c>
      <c r="F8" s="4" t="s">
        <v>613</v>
      </c>
    </row>
    <row r="9" spans="1:6" ht="30" customHeight="1">
      <c r="A9" s="4" t="s">
        <v>168</v>
      </c>
      <c r="B9" s="4" t="s">
        <v>614</v>
      </c>
      <c r="C9" s="4" t="s">
        <v>615</v>
      </c>
      <c r="D9" s="4" t="s">
        <v>603</v>
      </c>
      <c r="E9" s="4" t="s">
        <v>607</v>
      </c>
      <c r="F9" s="4" t="s">
        <v>616</v>
      </c>
    </row>
    <row r="10" spans="1:6" ht="30" customHeight="1">
      <c r="A10" s="4" t="s">
        <v>161</v>
      </c>
      <c r="B10" s="4" t="s">
        <v>617</v>
      </c>
      <c r="C10" s="4" t="s">
        <v>498</v>
      </c>
      <c r="D10" s="4" t="s">
        <v>603</v>
      </c>
      <c r="E10" s="4" t="s">
        <v>607</v>
      </c>
      <c r="F10" s="4" t="s">
        <v>618</v>
      </c>
    </row>
    <row r="11" spans="1:6" ht="30" customHeight="1">
      <c r="A11" s="4" t="s">
        <v>161</v>
      </c>
      <c r="B11" s="4" t="s">
        <v>508</v>
      </c>
      <c r="C11" s="4" t="s">
        <v>509</v>
      </c>
      <c r="D11" s="4" t="s">
        <v>603</v>
      </c>
      <c r="E11" s="4" t="s">
        <v>607</v>
      </c>
      <c r="F11" s="4" t="s">
        <v>619</v>
      </c>
    </row>
    <row r="12" spans="1:6" ht="30" customHeight="1">
      <c r="A12" s="4" t="s">
        <v>295</v>
      </c>
      <c r="B12" s="4" t="s">
        <v>620</v>
      </c>
      <c r="C12" s="4" t="s">
        <v>542</v>
      </c>
      <c r="D12" s="4" t="s">
        <v>603</v>
      </c>
      <c r="E12" s="4" t="s">
        <v>621</v>
      </c>
      <c r="F12" s="4" t="s">
        <v>622</v>
      </c>
    </row>
    <row r="13" spans="1:6" ht="30" customHeight="1">
      <c r="A13" s="4" t="s">
        <v>325</v>
      </c>
      <c r="B13" s="4" t="s">
        <v>86</v>
      </c>
      <c r="C13" s="4" t="s">
        <v>623</v>
      </c>
      <c r="D13" s="4" t="s">
        <v>603</v>
      </c>
      <c r="E13" s="4" t="s">
        <v>624</v>
      </c>
      <c r="F13" s="4" t="s">
        <v>625</v>
      </c>
    </row>
    <row r="14" spans="1:6" ht="30" customHeight="1">
      <c r="A14" s="4" t="s">
        <v>325</v>
      </c>
      <c r="B14" s="4" t="s">
        <v>567</v>
      </c>
      <c r="C14" s="4" t="s">
        <v>111</v>
      </c>
      <c r="D14" s="4" t="s">
        <v>600</v>
      </c>
      <c r="E14" s="4" t="s">
        <v>624</v>
      </c>
      <c r="F14" s="4" t="s">
        <v>626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showGridLines="0" workbookViewId="0">
      <pane ySplit="1" topLeftCell="A10" activePane="bottomLeft" state="frozen"/>
      <selection pane="bottomLeft"/>
    </sheetView>
  </sheetViews>
  <sheetFormatPr defaultRowHeight="11.25"/>
  <cols>
    <col min="1" max="1" width="19.5" style="2" bestFit="1" customWidth="1"/>
    <col min="2" max="2" width="41" style="2" bestFit="1" customWidth="1"/>
    <col min="3" max="3" width="25" style="2" bestFit="1" customWidth="1"/>
    <col min="4" max="4" width="30.625" style="2" bestFit="1" customWidth="1"/>
    <col min="5" max="16384" width="9" style="2"/>
  </cols>
  <sheetData>
    <row r="1" spans="1:4" ht="32.1" customHeight="1">
      <c r="A1" s="5" t="s">
        <v>627</v>
      </c>
      <c r="B1" s="5" t="s">
        <v>510</v>
      </c>
      <c r="C1" s="5" t="s">
        <v>628</v>
      </c>
      <c r="D1" s="5" t="s">
        <v>629</v>
      </c>
    </row>
    <row r="2" spans="1:4" ht="30" customHeight="1">
      <c r="A2" s="4" t="s">
        <v>630</v>
      </c>
      <c r="B2" s="4" t="s">
        <v>631</v>
      </c>
      <c r="C2" s="4" t="s">
        <v>632</v>
      </c>
      <c r="D2" s="4" t="s">
        <v>633</v>
      </c>
    </row>
    <row r="3" spans="1:4" ht="30" customHeight="1">
      <c r="A3" s="4" t="s">
        <v>634</v>
      </c>
      <c r="B3" s="4" t="s">
        <v>635</v>
      </c>
      <c r="C3" s="4" t="s">
        <v>636</v>
      </c>
      <c r="D3" s="4" t="s">
        <v>637</v>
      </c>
    </row>
    <row r="4" spans="1:4" ht="30" customHeight="1">
      <c r="A4" s="4" t="s">
        <v>172</v>
      </c>
      <c r="B4" s="4" t="s">
        <v>638</v>
      </c>
      <c r="C4" s="4" t="s">
        <v>639</v>
      </c>
      <c r="D4" s="4" t="s">
        <v>640</v>
      </c>
    </row>
    <row r="5" spans="1:4" ht="30" customHeight="1">
      <c r="A5" s="4" t="s">
        <v>295</v>
      </c>
      <c r="B5" s="4" t="s">
        <v>641</v>
      </c>
      <c r="C5" s="4" t="s">
        <v>642</v>
      </c>
      <c r="D5" s="4" t="s">
        <v>643</v>
      </c>
    </row>
    <row r="6" spans="1:4" ht="30" customHeight="1">
      <c r="A6" s="4" t="s">
        <v>644</v>
      </c>
      <c r="B6" s="4" t="s">
        <v>645</v>
      </c>
      <c r="C6" s="4" t="s">
        <v>646</v>
      </c>
      <c r="D6" s="4" t="s">
        <v>647</v>
      </c>
    </row>
    <row r="7" spans="1:4" ht="30" customHeight="1">
      <c r="A7" s="4" t="s">
        <v>648</v>
      </c>
      <c r="B7" s="4" t="s">
        <v>649</v>
      </c>
      <c r="C7" s="4" t="s">
        <v>650</v>
      </c>
      <c r="D7" s="4" t="s">
        <v>651</v>
      </c>
    </row>
    <row r="8" spans="1:4" ht="30" customHeight="1">
      <c r="A8" s="4" t="s">
        <v>652</v>
      </c>
      <c r="B8" s="4" t="s">
        <v>653</v>
      </c>
      <c r="C8" s="4" t="s">
        <v>654</v>
      </c>
      <c r="D8" s="4" t="s">
        <v>655</v>
      </c>
    </row>
    <row r="9" spans="1:4" ht="30" customHeight="1">
      <c r="A9" s="4" t="s">
        <v>656</v>
      </c>
      <c r="B9" s="4" t="s">
        <v>657</v>
      </c>
      <c r="C9" s="4" t="s">
        <v>658</v>
      </c>
      <c r="D9" s="4" t="s">
        <v>659</v>
      </c>
    </row>
    <row r="10" spans="1:4" ht="30" customHeight="1">
      <c r="A10" s="4" t="s">
        <v>660</v>
      </c>
      <c r="B10" s="4" t="s">
        <v>661</v>
      </c>
      <c r="C10" s="4" t="s">
        <v>658</v>
      </c>
      <c r="D10" s="4" t="s">
        <v>659</v>
      </c>
    </row>
    <row r="11" spans="1:4" ht="30" customHeight="1">
      <c r="A11" s="4" t="s">
        <v>662</v>
      </c>
      <c r="B11" s="4" t="s">
        <v>663</v>
      </c>
      <c r="C11" s="4" t="s">
        <v>658</v>
      </c>
      <c r="D11" s="4" t="s">
        <v>659</v>
      </c>
    </row>
    <row r="12" spans="1:4" ht="30" customHeight="1">
      <c r="A12" s="4" t="s">
        <v>664</v>
      </c>
      <c r="B12" s="4" t="s">
        <v>665</v>
      </c>
      <c r="C12" s="4" t="s">
        <v>666</v>
      </c>
      <c r="D12" s="4" t="s">
        <v>667</v>
      </c>
    </row>
    <row r="13" spans="1:4" ht="30" customHeight="1">
      <c r="A13" s="4" t="s">
        <v>668</v>
      </c>
      <c r="B13" s="4" t="s">
        <v>669</v>
      </c>
      <c r="C13" s="4" t="s">
        <v>670</v>
      </c>
      <c r="D13" s="4" t="s">
        <v>671</v>
      </c>
    </row>
    <row r="14" spans="1:4" ht="30" customHeight="1">
      <c r="A14" s="4" t="s">
        <v>672</v>
      </c>
      <c r="B14" s="4" t="s">
        <v>673</v>
      </c>
      <c r="C14" s="4" t="s">
        <v>674</v>
      </c>
      <c r="D14" s="4" t="s">
        <v>675</v>
      </c>
    </row>
    <row r="15" spans="1:4" ht="30" customHeight="1">
      <c r="A15" s="4" t="s">
        <v>676</v>
      </c>
      <c r="B15" s="4" t="s">
        <v>677</v>
      </c>
      <c r="C15" s="4" t="s">
        <v>678</v>
      </c>
      <c r="D15" s="4" t="s">
        <v>679</v>
      </c>
    </row>
    <row r="16" spans="1:4" ht="30" customHeight="1">
      <c r="A16" s="4" t="s">
        <v>680</v>
      </c>
      <c r="B16" s="4" t="s">
        <v>681</v>
      </c>
      <c r="C16" s="4" t="s">
        <v>682</v>
      </c>
      <c r="D16" s="4" t="s">
        <v>683</v>
      </c>
    </row>
    <row r="17" spans="1:4" ht="30" customHeight="1">
      <c r="A17" s="4" t="s">
        <v>684</v>
      </c>
      <c r="B17" s="4" t="s">
        <v>685</v>
      </c>
      <c r="C17" s="4" t="s">
        <v>686</v>
      </c>
      <c r="D17" s="4" t="s">
        <v>687</v>
      </c>
    </row>
    <row r="18" spans="1:4" ht="30" customHeight="1">
      <c r="A18" s="4" t="s">
        <v>688</v>
      </c>
      <c r="B18" s="4" t="s">
        <v>689</v>
      </c>
      <c r="C18" s="4" t="s">
        <v>690</v>
      </c>
      <c r="D18" s="4" t="s">
        <v>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showGridLines="0" workbookViewId="0">
      <pane ySplit="1" topLeftCell="A2" activePane="bottomLeft" state="frozen"/>
      <selection pane="bottomLeft" activeCell="E8" sqref="E8"/>
    </sheetView>
  </sheetViews>
  <sheetFormatPr defaultRowHeight="11.25"/>
  <cols>
    <col min="1" max="1" width="3.75" style="2" bestFit="1" customWidth="1"/>
    <col min="2" max="2" width="13.375" style="2" bestFit="1" customWidth="1"/>
    <col min="3" max="3" width="51.125" style="2" bestFit="1" customWidth="1"/>
    <col min="4" max="4" width="36.625" style="2" bestFit="1" customWidth="1"/>
    <col min="5" max="16384" width="9" style="2"/>
  </cols>
  <sheetData>
    <row r="1" spans="1:4" ht="32.1" customHeight="1">
      <c r="A1" s="5" t="s">
        <v>692</v>
      </c>
      <c r="B1" s="5" t="s">
        <v>693</v>
      </c>
      <c r="C1" s="5" t="s">
        <v>694</v>
      </c>
      <c r="D1" s="5" t="s">
        <v>695</v>
      </c>
    </row>
    <row r="2" spans="1:4" ht="30" customHeight="1">
      <c r="A2" s="4" t="s">
        <v>696</v>
      </c>
      <c r="B2" s="4" t="s">
        <v>697</v>
      </c>
      <c r="C2" s="4" t="s">
        <v>698</v>
      </c>
      <c r="D2" s="4" t="s">
        <v>699</v>
      </c>
    </row>
    <row r="3" spans="1:4" ht="30" customHeight="1">
      <c r="A3" s="4" t="s">
        <v>700</v>
      </c>
      <c r="B3" s="4" t="s">
        <v>701</v>
      </c>
      <c r="C3" s="4" t="s">
        <v>702</v>
      </c>
      <c r="D3" s="4" t="s">
        <v>703</v>
      </c>
    </row>
    <row r="4" spans="1:4" ht="30" customHeight="1">
      <c r="A4" s="4" t="s">
        <v>704</v>
      </c>
      <c r="B4" s="4" t="s">
        <v>705</v>
      </c>
      <c r="C4" s="4" t="s">
        <v>706</v>
      </c>
      <c r="D4" s="4" t="s">
        <v>707</v>
      </c>
    </row>
    <row r="5" spans="1:4" ht="30" customHeight="1">
      <c r="A5" s="4" t="s">
        <v>708</v>
      </c>
      <c r="B5" s="4" t="s">
        <v>709</v>
      </c>
      <c r="C5" s="4" t="s">
        <v>710</v>
      </c>
      <c r="D5" s="4" t="s">
        <v>711</v>
      </c>
    </row>
    <row r="6" spans="1:4" ht="30" customHeight="1">
      <c r="A6" s="4" t="s">
        <v>712</v>
      </c>
      <c r="B6" s="4" t="s">
        <v>713</v>
      </c>
      <c r="C6" s="4" t="s">
        <v>714</v>
      </c>
      <c r="D6" s="4" t="s">
        <v>715</v>
      </c>
    </row>
    <row r="7" spans="1:4" ht="30" customHeight="1">
      <c r="A7" s="4" t="s">
        <v>716</v>
      </c>
      <c r="B7" s="4" t="s">
        <v>717</v>
      </c>
      <c r="C7" s="4" t="s">
        <v>718</v>
      </c>
      <c r="D7" s="4" t="s">
        <v>719</v>
      </c>
    </row>
    <row r="8" spans="1:4" ht="30" customHeight="1">
      <c r="A8" s="4" t="s">
        <v>720</v>
      </c>
      <c r="B8" s="4" t="s">
        <v>721</v>
      </c>
      <c r="C8" s="4" t="s">
        <v>722</v>
      </c>
      <c r="D8" s="4" t="s">
        <v>723</v>
      </c>
    </row>
    <row r="9" spans="1:4" ht="30" customHeight="1">
      <c r="A9" s="4" t="s">
        <v>724</v>
      </c>
      <c r="B9" s="4" t="s">
        <v>725</v>
      </c>
      <c r="C9" s="4" t="s">
        <v>726</v>
      </c>
      <c r="D9" s="4" t="s">
        <v>727</v>
      </c>
    </row>
    <row r="10" spans="1:4" ht="30" customHeight="1">
      <c r="A10" s="4" t="s">
        <v>728</v>
      </c>
      <c r="B10" s="4" t="s">
        <v>729</v>
      </c>
      <c r="C10" s="4" t="s">
        <v>730</v>
      </c>
      <c r="D10" s="4" t="s">
        <v>731</v>
      </c>
    </row>
    <row r="11" spans="1:4" ht="30" customHeight="1">
      <c r="A11" s="4" t="s">
        <v>732</v>
      </c>
      <c r="B11" s="4" t="s">
        <v>733</v>
      </c>
      <c r="C11" s="4" t="s">
        <v>734</v>
      </c>
      <c r="D11" s="4" t="s">
        <v>735</v>
      </c>
    </row>
    <row r="12" spans="1:4" ht="30" customHeight="1">
      <c r="A12" s="4" t="s">
        <v>736</v>
      </c>
      <c r="B12" s="4" t="s">
        <v>737</v>
      </c>
      <c r="C12" s="4" t="s">
        <v>738</v>
      </c>
      <c r="D12" s="4" t="s">
        <v>739</v>
      </c>
    </row>
    <row r="13" spans="1:4" ht="30" customHeight="1">
      <c r="A13" s="4" t="s">
        <v>740</v>
      </c>
      <c r="B13" s="4" t="s">
        <v>741</v>
      </c>
      <c r="C13" s="4" t="s">
        <v>742</v>
      </c>
      <c r="D13" s="4" t="s">
        <v>743</v>
      </c>
    </row>
    <row r="14" spans="1:4" ht="30" customHeight="1">
      <c r="A14" s="4" t="s">
        <v>744</v>
      </c>
      <c r="B14" s="4" t="s">
        <v>745</v>
      </c>
      <c r="C14" s="4" t="s">
        <v>746</v>
      </c>
      <c r="D14" s="4" t="s">
        <v>747</v>
      </c>
    </row>
    <row r="15" spans="1:4" ht="30" customHeight="1">
      <c r="A15" s="4" t="s">
        <v>748</v>
      </c>
      <c r="B15" s="4" t="s">
        <v>749</v>
      </c>
      <c r="C15" s="4" t="s">
        <v>750</v>
      </c>
      <c r="D15" s="4" t="s">
        <v>751</v>
      </c>
    </row>
    <row r="16" spans="1:4" ht="30" customHeight="1">
      <c r="A16" s="4" t="s">
        <v>752</v>
      </c>
      <c r="B16" s="4" t="s">
        <v>753</v>
      </c>
      <c r="C16" s="4" t="s">
        <v>754</v>
      </c>
      <c r="D16" s="4" t="s">
        <v>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1.25"/>
  <cols>
    <col min="1" max="1" width="17.125" style="2" bestFit="1" customWidth="1"/>
    <col min="2" max="2" width="59.625" style="2" bestFit="1" customWidth="1"/>
    <col min="3" max="16384" width="9" style="2"/>
  </cols>
  <sheetData>
    <row r="1" spans="1:2" ht="32.1" customHeight="1">
      <c r="A1" s="5" t="s">
        <v>756</v>
      </c>
      <c r="B1" s="5" t="s">
        <v>757</v>
      </c>
    </row>
    <row r="2" spans="1:2" ht="30" customHeight="1">
      <c r="A2" s="4" t="s">
        <v>758</v>
      </c>
      <c r="B2" s="4" t="s">
        <v>759</v>
      </c>
    </row>
    <row r="3" spans="1:2" ht="30" customHeight="1">
      <c r="A3" s="4" t="s">
        <v>760</v>
      </c>
      <c r="B3" s="4" t="s">
        <v>761</v>
      </c>
    </row>
    <row r="4" spans="1:2" ht="30" customHeight="1">
      <c r="A4" s="4" t="s">
        <v>762</v>
      </c>
      <c r="B4" s="4" t="s">
        <v>763</v>
      </c>
    </row>
    <row r="5" spans="1:2" ht="30" customHeight="1">
      <c r="A5" s="4" t="s">
        <v>764</v>
      </c>
      <c r="B5" s="4" t="s">
        <v>765</v>
      </c>
    </row>
    <row r="6" spans="1:2" ht="30" customHeight="1">
      <c r="A6" s="4" t="s">
        <v>766</v>
      </c>
      <c r="B6" s="4" t="s">
        <v>767</v>
      </c>
    </row>
    <row r="7" spans="1:2" ht="30" customHeight="1">
      <c r="A7" s="4" t="s">
        <v>768</v>
      </c>
      <c r="B7" s="4" t="s">
        <v>769</v>
      </c>
    </row>
    <row r="8" spans="1:2" ht="30" customHeight="1">
      <c r="A8" s="4" t="s">
        <v>770</v>
      </c>
      <c r="B8" s="4" t="s">
        <v>771</v>
      </c>
    </row>
    <row r="9" spans="1:2" ht="30" customHeight="1">
      <c r="A9" s="4" t="s">
        <v>772</v>
      </c>
      <c r="B9" s="4" t="s">
        <v>773</v>
      </c>
    </row>
    <row r="10" spans="1:2" ht="30" customHeight="1">
      <c r="A10" s="4" t="s">
        <v>774</v>
      </c>
      <c r="B10" s="4" t="s">
        <v>775</v>
      </c>
    </row>
    <row r="11" spans="1:2" ht="30" customHeight="1">
      <c r="A11" s="4" t="s">
        <v>776</v>
      </c>
      <c r="B11" s="4" t="s">
        <v>777</v>
      </c>
    </row>
    <row r="12" spans="1:2" ht="30" customHeight="1">
      <c r="A12" s="4" t="s">
        <v>778</v>
      </c>
      <c r="B12" s="4" t="s">
        <v>779</v>
      </c>
    </row>
    <row r="13" spans="1:2" ht="30" customHeight="1">
      <c r="A13" s="4" t="s">
        <v>780</v>
      </c>
      <c r="B13" s="4" t="s">
        <v>781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showGridLines="0" tabSelected="1" workbookViewId="0"/>
  </sheetViews>
  <sheetFormatPr defaultRowHeight="11.25"/>
  <cols>
    <col min="1" max="1" width="14.25" style="2" bestFit="1" customWidth="1"/>
    <col min="2" max="2" width="13" style="2" bestFit="1" customWidth="1"/>
    <col min="3" max="3" width="14.5" style="2" bestFit="1" customWidth="1"/>
    <col min="4" max="4" width="9.625" style="2" bestFit="1" customWidth="1"/>
    <col min="5" max="16384" width="9" style="2"/>
  </cols>
  <sheetData>
    <row r="1" spans="1:4" ht="32.1" customHeight="1">
      <c r="A1" s="3" t="s">
        <v>782</v>
      </c>
      <c r="B1" s="3" t="s">
        <v>783</v>
      </c>
      <c r="C1" s="3" t="s">
        <v>784</v>
      </c>
      <c r="D1" s="3" t="s">
        <v>785</v>
      </c>
    </row>
    <row r="2" spans="1:4">
      <c r="A2" s="4" t="s">
        <v>182</v>
      </c>
      <c r="B2" s="4">
        <v>12840570</v>
      </c>
      <c r="C2" s="4"/>
      <c r="D2" s="9">
        <f>IFERROR(B2/B4,0)</f>
        <v>72.057070707070707</v>
      </c>
    </row>
    <row r="3" spans="1:4">
      <c r="A3" s="4" t="s">
        <v>786</v>
      </c>
      <c r="B3" s="4">
        <v>2310910</v>
      </c>
      <c r="C3" s="4"/>
      <c r="D3" s="10">
        <f>IFERROR(B3/B2,0)</f>
        <v>0.1799694250333124</v>
      </c>
    </row>
    <row r="4" spans="1:4">
      <c r="A4" s="4" t="s">
        <v>161</v>
      </c>
      <c r="B4" s="4">
        <v>178200</v>
      </c>
      <c r="C4" s="4"/>
      <c r="D4" s="9">
        <f>IFERROR(B3/B4,0)</f>
        <v>12.968069584736252</v>
      </c>
    </row>
    <row r="5" spans="1:4">
      <c r="A5" s="4" t="s">
        <v>168</v>
      </c>
      <c r="B5" s="4">
        <v>46798</v>
      </c>
      <c r="C5" s="4"/>
      <c r="D5" s="4"/>
    </row>
    <row r="6" spans="1:4">
      <c r="A6" s="4" t="s">
        <v>179</v>
      </c>
      <c r="B6" s="4"/>
      <c r="C6" s="4"/>
      <c r="D6" s="4"/>
    </row>
    <row r="7" spans="1:4">
      <c r="A7" s="4" t="s">
        <v>150</v>
      </c>
      <c r="B7" s="4"/>
      <c r="C7" s="4"/>
      <c r="D7" s="4"/>
    </row>
    <row r="8" spans="1:4">
      <c r="A8" s="4" t="s">
        <v>183</v>
      </c>
      <c r="B8" s="4"/>
      <c r="C8" s="4"/>
      <c r="D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 HERE</vt:lpstr>
      <vt:lpstr>DATA DICTIONARY</vt:lpstr>
      <vt:lpstr>MODEL RELATIONSHIPS</vt:lpstr>
      <vt:lpstr>CALCULATED OBJECTS</vt:lpstr>
      <vt:lpstr>DAX MEASURE LIBRARY</vt:lpstr>
      <vt:lpstr>VISUAL BUILD MATRIX</vt:lpstr>
      <vt:lpstr>SLICERS INTERACTIONS</vt:lpstr>
      <vt:lpstr>VALIDATION CHECKLIST</vt:lpstr>
      <vt:lpstr>BUILD ROADMAP</vt:lpstr>
      <vt:lpstr>ASSUMPTIONS &amp; LIMITS</vt:lpstr>
      <vt:lpstr>KPI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Datta Sable</cp:lastModifiedBy>
  <dcterms:modified xsi:type="dcterms:W3CDTF">2026-10-21T08:07:05Z</dcterms:modified>
</cp:coreProperties>
</file>